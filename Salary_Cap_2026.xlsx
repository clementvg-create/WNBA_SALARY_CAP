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wish Swish\"/>
    </mc:Choice>
  </mc:AlternateContent>
  <xr:revisionPtr revIDLastSave="0" documentId="13_ncr:1_{EB13E9A7-E15C-4813-A91A-7B57E451958C}" xr6:coauthVersionLast="47" xr6:coauthVersionMax="47" xr10:uidLastSave="{00000000-0000-0000-0000-000000000000}"/>
  <bookViews>
    <workbookView xWindow="-120" yWindow="-120" windowWidth="29040" windowHeight="15720" tabRatio="696" firstSheet="1" activeTab="15" xr2:uid="{05719DB4-8F06-45BC-9505-E988B961DE76}"/>
  </bookViews>
  <sheets>
    <sheet name="Cap" sheetId="2" state="hidden" r:id="rId1"/>
    <sheet name="Dream" sheetId="4" r:id="rId2"/>
    <sheet name="Sky" sheetId="5" r:id="rId3"/>
    <sheet name="Sun" sheetId="6" r:id="rId4"/>
    <sheet name="Wings" sheetId="7" r:id="rId5"/>
    <sheet name="Valkyries" sheetId="8" r:id="rId6"/>
    <sheet name="Fever" sheetId="10" r:id="rId7"/>
    <sheet name="Vegas" sheetId="9" r:id="rId8"/>
    <sheet name="Sparks" sheetId="11" r:id="rId9"/>
    <sheet name="Lynx" sheetId="12" r:id="rId10"/>
    <sheet name="Liberty" sheetId="1" r:id="rId11"/>
    <sheet name="Mercury" sheetId="13" r:id="rId12"/>
    <sheet name="Fire" sheetId="14" r:id="rId13"/>
    <sheet name="Storm" sheetId="15" r:id="rId14"/>
    <sheet name="Tempo" sheetId="16" r:id="rId15"/>
    <sheet name="Mystics" sheetId="17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1" l="1"/>
  <c r="H7" i="4"/>
  <c r="H7" i="5"/>
  <c r="H7" i="6"/>
  <c r="H7" i="7"/>
  <c r="H7" i="8"/>
  <c r="H7" i="11"/>
  <c r="H7" i="13"/>
  <c r="H7" i="14"/>
  <c r="H7" i="15"/>
  <c r="H7" i="16"/>
  <c r="H7" i="17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2" i="4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3" i="5"/>
  <c r="F2" i="5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F26" i="7"/>
  <c r="F25" i="7"/>
  <c r="F24" i="7"/>
  <c r="F23" i="7"/>
  <c r="F22" i="7"/>
  <c r="F21" i="7"/>
  <c r="F20" i="7"/>
  <c r="F19" i="7"/>
  <c r="F18" i="7"/>
  <c r="F17" i="7"/>
  <c r="F16" i="7"/>
  <c r="F15" i="7"/>
  <c r="F14" i="7"/>
  <c r="F13" i="7"/>
  <c r="F12" i="7"/>
  <c r="F11" i="7"/>
  <c r="F10" i="7"/>
  <c r="F9" i="7"/>
  <c r="F8" i="7"/>
  <c r="F7" i="7"/>
  <c r="F6" i="7"/>
  <c r="F5" i="7"/>
  <c r="F4" i="7"/>
  <c r="F3" i="7"/>
  <c r="F2" i="7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F6" i="8"/>
  <c r="F5" i="8"/>
  <c r="F4" i="8"/>
  <c r="F3" i="8"/>
  <c r="F2" i="8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F12" i="10"/>
  <c r="F11" i="10"/>
  <c r="F10" i="10"/>
  <c r="F9" i="10"/>
  <c r="F8" i="10"/>
  <c r="F7" i="10"/>
  <c r="F6" i="10"/>
  <c r="F5" i="10"/>
  <c r="F4" i="10"/>
  <c r="F3" i="10"/>
  <c r="F2" i="10"/>
  <c r="F26" i="9"/>
  <c r="F25" i="9"/>
  <c r="F24" i="9"/>
  <c r="F23" i="9"/>
  <c r="F22" i="9"/>
  <c r="F21" i="9"/>
  <c r="F20" i="9"/>
  <c r="F19" i="9"/>
  <c r="F18" i="9"/>
  <c r="F17" i="9"/>
  <c r="F16" i="9"/>
  <c r="F15" i="9"/>
  <c r="F14" i="9"/>
  <c r="F13" i="9"/>
  <c r="F12" i="9"/>
  <c r="F11" i="9"/>
  <c r="F10" i="9"/>
  <c r="F9" i="9"/>
  <c r="F8" i="9"/>
  <c r="F7" i="9"/>
  <c r="F6" i="9"/>
  <c r="F5" i="9"/>
  <c r="F4" i="9"/>
  <c r="F3" i="9"/>
  <c r="F2" i="9"/>
  <c r="F26" i="11"/>
  <c r="F25" i="11"/>
  <c r="F24" i="11"/>
  <c r="F23" i="11"/>
  <c r="F22" i="11"/>
  <c r="F21" i="11"/>
  <c r="F20" i="11"/>
  <c r="F19" i="11"/>
  <c r="F18" i="11"/>
  <c r="F17" i="11"/>
  <c r="F16" i="11"/>
  <c r="F15" i="11"/>
  <c r="F14" i="11"/>
  <c r="F13" i="11"/>
  <c r="F12" i="11"/>
  <c r="F11" i="11"/>
  <c r="F10" i="11"/>
  <c r="F9" i="11"/>
  <c r="F8" i="11"/>
  <c r="F7" i="11"/>
  <c r="F6" i="11"/>
  <c r="F5" i="11"/>
  <c r="F4" i="11"/>
  <c r="F3" i="11"/>
  <c r="F2" i="11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F9" i="12"/>
  <c r="F8" i="12"/>
  <c r="F7" i="12"/>
  <c r="F6" i="12"/>
  <c r="F5" i="12"/>
  <c r="F4" i="12"/>
  <c r="F3" i="12"/>
  <c r="F2" i="12"/>
  <c r="F26" i="13"/>
  <c r="F25" i="13"/>
  <c r="F24" i="13"/>
  <c r="F23" i="13"/>
  <c r="F22" i="13"/>
  <c r="F21" i="13"/>
  <c r="F20" i="13"/>
  <c r="F19" i="13"/>
  <c r="F18" i="13"/>
  <c r="F17" i="13"/>
  <c r="F16" i="13"/>
  <c r="F15" i="13"/>
  <c r="F14" i="13"/>
  <c r="F13" i="13"/>
  <c r="F12" i="13"/>
  <c r="F11" i="13"/>
  <c r="F10" i="13"/>
  <c r="F9" i="13"/>
  <c r="F8" i="13"/>
  <c r="F7" i="13"/>
  <c r="F6" i="13"/>
  <c r="F5" i="13"/>
  <c r="F4" i="13"/>
  <c r="F3" i="13"/>
  <c r="F2" i="13"/>
  <c r="F26" i="14"/>
  <c r="F25" i="14"/>
  <c r="F24" i="14"/>
  <c r="F23" i="14"/>
  <c r="F22" i="14"/>
  <c r="F21" i="14"/>
  <c r="F20" i="14"/>
  <c r="F19" i="14"/>
  <c r="F18" i="14"/>
  <c r="F17" i="14"/>
  <c r="F16" i="14"/>
  <c r="F15" i="14"/>
  <c r="F14" i="14"/>
  <c r="F13" i="14"/>
  <c r="F12" i="14"/>
  <c r="F11" i="14"/>
  <c r="F10" i="14"/>
  <c r="F9" i="14"/>
  <c r="F8" i="14"/>
  <c r="F7" i="14"/>
  <c r="F6" i="14"/>
  <c r="F5" i="14"/>
  <c r="F4" i="14"/>
  <c r="F3" i="14"/>
  <c r="F2" i="14"/>
  <c r="F26" i="15"/>
  <c r="F25" i="15"/>
  <c r="F24" i="15"/>
  <c r="F23" i="15"/>
  <c r="F22" i="15"/>
  <c r="F21" i="15"/>
  <c r="F20" i="15"/>
  <c r="F19" i="15"/>
  <c r="F18" i="15"/>
  <c r="F17" i="15"/>
  <c r="F16" i="15"/>
  <c r="F15" i="15"/>
  <c r="F14" i="15"/>
  <c r="F13" i="15"/>
  <c r="F12" i="15"/>
  <c r="F11" i="15"/>
  <c r="F10" i="15"/>
  <c r="F9" i="15"/>
  <c r="F8" i="15"/>
  <c r="F7" i="15"/>
  <c r="F6" i="15"/>
  <c r="F5" i="15"/>
  <c r="F4" i="15"/>
  <c r="F3" i="15"/>
  <c r="F2" i="15"/>
  <c r="F26" i="16"/>
  <c r="F25" i="16"/>
  <c r="F24" i="16"/>
  <c r="F23" i="16"/>
  <c r="F22" i="16"/>
  <c r="F21" i="16"/>
  <c r="F20" i="16"/>
  <c r="F19" i="16"/>
  <c r="F18" i="16"/>
  <c r="F17" i="16"/>
  <c r="F16" i="16"/>
  <c r="F15" i="16"/>
  <c r="F14" i="16"/>
  <c r="F13" i="16"/>
  <c r="F12" i="16"/>
  <c r="F11" i="16"/>
  <c r="F10" i="16"/>
  <c r="F9" i="16"/>
  <c r="F8" i="16"/>
  <c r="F7" i="16"/>
  <c r="F6" i="16"/>
  <c r="F5" i="16"/>
  <c r="F4" i="16"/>
  <c r="F3" i="16"/>
  <c r="F2" i="16"/>
  <c r="F3" i="17"/>
  <c r="F4" i="17"/>
  <c r="F5" i="17"/>
  <c r="F6" i="17"/>
  <c r="F7" i="17"/>
  <c r="F8" i="17"/>
  <c r="F9" i="17"/>
  <c r="F10" i="17"/>
  <c r="F11" i="17"/>
  <c r="F12" i="17"/>
  <c r="F13" i="17"/>
  <c r="F14" i="17"/>
  <c r="F15" i="17"/>
  <c r="F16" i="17"/>
  <c r="F17" i="17"/>
  <c r="F18" i="17"/>
  <c r="F19" i="17"/>
  <c r="F20" i="17"/>
  <c r="F21" i="17"/>
  <c r="F22" i="17"/>
  <c r="F23" i="17"/>
  <c r="F24" i="17"/>
  <c r="F25" i="17"/>
  <c r="F26" i="17"/>
  <c r="F2" i="17"/>
  <c r="H5" i="17" a="1"/>
  <c r="H5" i="17" s="1"/>
  <c r="H4" i="17" a="1"/>
  <c r="H4" i="17" s="1"/>
  <c r="H3" i="17" a="1"/>
  <c r="H3" i="17" s="1"/>
  <c r="A3" i="17"/>
  <c r="A4" i="17" s="1"/>
  <c r="A5" i="17" s="1"/>
  <c r="A6" i="17" s="1"/>
  <c r="A7" i="17" s="1"/>
  <c r="A8" i="17" s="1"/>
  <c r="A9" i="17" s="1"/>
  <c r="A10" i="17" s="1"/>
  <c r="A11" i="17" s="1"/>
  <c r="A12" i="17" s="1"/>
  <c r="A13" i="17" s="1"/>
  <c r="A14" i="17" s="1"/>
  <c r="A15" i="17" s="1"/>
  <c r="A16" i="17" s="1"/>
  <c r="A17" i="17" s="1"/>
  <c r="A18" i="17" s="1"/>
  <c r="A19" i="17" s="1"/>
  <c r="A20" i="17" s="1"/>
  <c r="A21" i="17" s="1"/>
  <c r="A22" i="17" s="1"/>
  <c r="A23" i="17" s="1"/>
  <c r="A24" i="17" s="1"/>
  <c r="A25" i="17" s="1"/>
  <c r="A26" i="17" s="1"/>
  <c r="H2" i="17" a="1"/>
  <c r="H2" i="17" s="1"/>
  <c r="H1" i="17" s="1"/>
  <c r="H5" i="16" a="1"/>
  <c r="H5" i="16" s="1"/>
  <c r="H4" i="16" a="1"/>
  <c r="H4" i="16" s="1"/>
  <c r="H3" i="16" a="1"/>
  <c r="H3" i="16" s="1"/>
  <c r="A3" i="16"/>
  <c r="A4" i="16" s="1"/>
  <c r="A5" i="16" s="1"/>
  <c r="A6" i="16" s="1"/>
  <c r="A7" i="16" s="1"/>
  <c r="A8" i="16" s="1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H2" i="16" a="1"/>
  <c r="H2" i="16" s="1"/>
  <c r="H1" i="16" s="1"/>
  <c r="H5" i="15" a="1"/>
  <c r="H5" i="15" s="1"/>
  <c r="H4" i="15" a="1"/>
  <c r="H4" i="15" s="1"/>
  <c r="H3" i="15" a="1"/>
  <c r="H3" i="15" s="1"/>
  <c r="A3" i="15"/>
  <c r="A4" i="15" s="1"/>
  <c r="A5" i="15" s="1"/>
  <c r="A6" i="15" s="1"/>
  <c r="A7" i="15" s="1"/>
  <c r="A8" i="15" s="1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H2" i="15" a="1"/>
  <c r="H2" i="15" s="1"/>
  <c r="H1" i="15" s="1"/>
  <c r="H5" i="14" a="1"/>
  <c r="H5" i="14" s="1"/>
  <c r="H4" i="14" a="1"/>
  <c r="H4" i="14" s="1"/>
  <c r="H3" i="14" a="1"/>
  <c r="H3" i="14" s="1"/>
  <c r="A3" i="14"/>
  <c r="A4" i="14" s="1"/>
  <c r="A5" i="14" s="1"/>
  <c r="A6" i="14" s="1"/>
  <c r="A7" i="14" s="1"/>
  <c r="A8" i="14" s="1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H2" i="14" a="1"/>
  <c r="H2" i="14" s="1"/>
  <c r="H1" i="14" s="1"/>
  <c r="H5" i="13" a="1"/>
  <c r="H5" i="13" s="1"/>
  <c r="H4" i="13" a="1"/>
  <c r="H4" i="13" s="1"/>
  <c r="H3" i="13" a="1"/>
  <c r="H3" i="13" s="1"/>
  <c r="A3" i="13"/>
  <c r="A4" i="13" s="1"/>
  <c r="A5" i="13" s="1"/>
  <c r="A6" i="13" s="1"/>
  <c r="A7" i="13" s="1"/>
  <c r="A8" i="13" s="1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H2" i="13" a="1"/>
  <c r="H2" i="13" s="1"/>
  <c r="H1" i="13" s="1"/>
  <c r="H5" i="12" a="1"/>
  <c r="H5" i="12" s="1"/>
  <c r="H4" i="12" a="1"/>
  <c r="H4" i="12" s="1"/>
  <c r="H3" i="12" a="1"/>
  <c r="H3" i="12" s="1"/>
  <c r="A3" i="12"/>
  <c r="A4" i="12" s="1"/>
  <c r="A5" i="12" s="1"/>
  <c r="A6" i="12" s="1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H2" i="12" a="1"/>
  <c r="H2" i="12" s="1"/>
  <c r="H1" i="12" s="1"/>
  <c r="H5" i="11" a="1"/>
  <c r="H5" i="11" s="1"/>
  <c r="H4" i="11" a="1"/>
  <c r="H4" i="11" s="1"/>
  <c r="H3" i="11" a="1"/>
  <c r="H3" i="11" s="1"/>
  <c r="A3" i="11"/>
  <c r="A4" i="11" s="1"/>
  <c r="A5" i="11" s="1"/>
  <c r="A6" i="11" s="1"/>
  <c r="A7" i="11" s="1"/>
  <c r="A8" i="11" s="1"/>
  <c r="A9" i="11" s="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H2" i="11" a="1"/>
  <c r="H2" i="11" s="1"/>
  <c r="H1" i="11" s="1"/>
  <c r="H5" i="10" a="1"/>
  <c r="H5" i="10" s="1"/>
  <c r="H4" i="10" a="1"/>
  <c r="H4" i="10" s="1"/>
  <c r="H3" i="10" a="1"/>
  <c r="H3" i="10" s="1"/>
  <c r="A3" i="10"/>
  <c r="A4" i="10" s="1"/>
  <c r="A5" i="10" s="1"/>
  <c r="A6" i="10" s="1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H2" i="10" a="1"/>
  <c r="H2" i="10" s="1"/>
  <c r="H1" i="10" s="1"/>
  <c r="H5" i="9" a="1"/>
  <c r="H5" i="9" s="1"/>
  <c r="H4" i="9" a="1"/>
  <c r="H4" i="9" s="1"/>
  <c r="H3" i="9" a="1"/>
  <c r="H3" i="9" s="1"/>
  <c r="A3" i="9"/>
  <c r="A4" i="9" s="1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H2" i="9" a="1"/>
  <c r="H2" i="9" s="1"/>
  <c r="H1" i="9" s="1"/>
  <c r="H5" i="8" a="1"/>
  <c r="H5" i="8" s="1"/>
  <c r="H4" i="8" a="1"/>
  <c r="H4" i="8" s="1"/>
  <c r="H3" i="8" a="1"/>
  <c r="H3" i="8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H2" i="8" a="1"/>
  <c r="H2" i="8" s="1"/>
  <c r="H1" i="8" s="1"/>
  <c r="H5" i="7" a="1"/>
  <c r="H5" i="7" s="1"/>
  <c r="H4" i="7" a="1"/>
  <c r="H4" i="7" s="1"/>
  <c r="H3" i="7" a="1"/>
  <c r="H3" i="7" s="1"/>
  <c r="A3" i="7"/>
  <c r="A4" i="7" s="1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H2" i="7" a="1"/>
  <c r="H2" i="7" s="1"/>
  <c r="H1" i="7" s="1"/>
  <c r="H5" i="6" a="1"/>
  <c r="H5" i="6" s="1"/>
  <c r="H4" i="6" a="1"/>
  <c r="H4" i="6" s="1"/>
  <c r="H3" i="6" a="1"/>
  <c r="H3" i="6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H2" i="6" a="1"/>
  <c r="H2" i="6" s="1"/>
  <c r="H1" i="6" s="1"/>
  <c r="H5" i="5" a="1"/>
  <c r="H5" i="5" s="1"/>
  <c r="H4" i="5" a="1"/>
  <c r="H4" i="5" s="1"/>
  <c r="H3" i="5" a="1"/>
  <c r="H3" i="5" s="1"/>
  <c r="A3" i="5"/>
  <c r="A4" i="5" s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H2" i="5" a="1"/>
  <c r="H2" i="5" s="1"/>
  <c r="H1" i="5" s="1"/>
  <c r="H3" i="4" a="1"/>
  <c r="H3" i="4" s="1"/>
  <c r="H2" i="4" a="1"/>
  <c r="H2" i="4" s="1"/>
  <c r="H1" i="4" s="1"/>
  <c r="H6" i="4" s="1"/>
  <c r="H5" i="4" a="1"/>
  <c r="H5" i="4" s="1"/>
  <c r="H4" i="4" a="1"/>
  <c r="H4" i="4" s="1"/>
  <c r="A3" i="4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H5" i="1" a="1"/>
  <c r="H5" i="1" s="1"/>
  <c r="H4" i="1" a="1"/>
  <c r="H4" i="1" s="1"/>
  <c r="H3" i="1" a="1"/>
  <c r="H3" i="1" s="1"/>
  <c r="H2" i="1" a="1"/>
  <c r="H2" i="1" s="1"/>
  <c r="H1" i="1" s="1"/>
  <c r="H6" i="1" s="1"/>
  <c r="H7" i="12" l="1"/>
  <c r="H7" i="9"/>
  <c r="H7" i="10"/>
  <c r="H6" i="10"/>
  <c r="H6" i="16"/>
  <c r="H6" i="17"/>
  <c r="H6" i="14"/>
  <c r="H6" i="13"/>
  <c r="H6" i="12"/>
  <c r="H6" i="11"/>
  <c r="H6" i="9"/>
  <c r="H6" i="7"/>
  <c r="H6" i="5"/>
  <c r="H6" i="15"/>
  <c r="H6" i="8"/>
  <c r="H6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<sst xmlns="http://schemas.openxmlformats.org/spreadsheetml/2006/main" count="716" uniqueCount="307">
  <si>
    <t>Player</t>
  </si>
  <si>
    <t>Core Years</t>
  </si>
  <si>
    <t>Rebecca Allen</t>
  </si>
  <si>
    <t>Leonie Fiebich</t>
  </si>
  <si>
    <t>Pauline Astier</t>
  </si>
  <si>
    <t>Raquel Carrera</t>
  </si>
  <si>
    <t>Anneli Maley</t>
  </si>
  <si>
    <t>Sabrina Ionescu</t>
  </si>
  <si>
    <t>Cored</t>
  </si>
  <si>
    <t>Natasha Cloud</t>
  </si>
  <si>
    <t>UFA</t>
  </si>
  <si>
    <t>Jonquel Jones</t>
  </si>
  <si>
    <t>2022, 2023</t>
  </si>
  <si>
    <t>Emma Meesseman</t>
  </si>
  <si>
    <t>Breanna Stewart</t>
  </si>
  <si>
    <t>2024, 2025</t>
  </si>
  <si>
    <t>Rebekah Gardner</t>
  </si>
  <si>
    <t>Reserved</t>
  </si>
  <si>
    <t>Betnijah Laney-Hamilton</t>
  </si>
  <si>
    <t>SuspCE</t>
  </si>
  <si>
    <t>Han Xu</t>
  </si>
  <si>
    <t>Core Player</t>
  </si>
  <si>
    <t>S. Ionescu</t>
  </si>
  <si>
    <t>Manuela Puoch</t>
  </si>
  <si>
    <t>Marine Fauthoux</t>
  </si>
  <si>
    <t>Salary Cap</t>
  </si>
  <si>
    <t>Marine Johannès</t>
  </si>
  <si>
    <t>Salary cap</t>
  </si>
  <si>
    <t>#</t>
  </si>
  <si>
    <t>Contract</t>
  </si>
  <si>
    <t>U</t>
  </si>
  <si>
    <t>TC</t>
  </si>
  <si>
    <t>Draft rights</t>
  </si>
  <si>
    <t>Total Guaranteed Salary</t>
  </si>
  <si>
    <t>V</t>
  </si>
  <si>
    <t>Total Player</t>
  </si>
  <si>
    <t>Total Player Protected</t>
  </si>
  <si>
    <t>Total Salary</t>
  </si>
  <si>
    <t>Veteran Spot Player</t>
  </si>
  <si>
    <t>Spot Player</t>
  </si>
  <si>
    <t>Allisha Gray</t>
  </si>
  <si>
    <t>2026, 2027, 2028</t>
  </si>
  <si>
    <t>Rhyne Howard</t>
  </si>
  <si>
    <t>Brionna Jones</t>
  </si>
  <si>
    <t>2023, 2024</t>
  </si>
  <si>
    <t>Naz Hillmon</t>
  </si>
  <si>
    <t>Jordin Canada</t>
  </si>
  <si>
    <t>Angel Reese</t>
  </si>
  <si>
    <t>Te-Hina Paopao</t>
  </si>
  <si>
    <t>Taylor Thierry</t>
  </si>
  <si>
    <t>Maite Cazorla</t>
  </si>
  <si>
    <t>Isobel Borlase</t>
  </si>
  <si>
    <t>Holly Winterburn</t>
  </si>
  <si>
    <t>Paige Robinson</t>
  </si>
  <si>
    <t>Shatori Walker-Kimbrough</t>
  </si>
  <si>
    <t>Lorela Cubaj</t>
  </si>
  <si>
    <t>A. Gray</t>
  </si>
  <si>
    <t>Madina Okot</t>
  </si>
  <si>
    <t>Indya Nivar</t>
  </si>
  <si>
    <t>Kejia Ran</t>
  </si>
  <si>
    <t>Average Salary</t>
  </si>
  <si>
    <t>Skylar Diggins</t>
  </si>
  <si>
    <t>Courtney Vandersloot</t>
  </si>
  <si>
    <t>DiJonai Carrington</t>
  </si>
  <si>
    <t>Elizabeth Williams</t>
  </si>
  <si>
    <t>Kamilla Cardoso</t>
  </si>
  <si>
    <t>Rickea Jackson</t>
  </si>
  <si>
    <t>Rachel Banham</t>
  </si>
  <si>
    <t>Jacy Sheldon</t>
  </si>
  <si>
    <t>Hailey Van Lith</t>
  </si>
  <si>
    <t>Maddy Westbeld</t>
  </si>
  <si>
    <t>Aicha Coulibaly</t>
  </si>
  <si>
    <t>Sydney Taylor</t>
  </si>
  <si>
    <t>Kia Nurse</t>
  </si>
  <si>
    <t>Sevgi Uzun</t>
  </si>
  <si>
    <t>Gabriela Jaquez</t>
  </si>
  <si>
    <t>Latasha Lattimore</t>
  </si>
  <si>
    <t>Tonie Morgan</t>
  </si>
  <si>
    <t>Available</t>
  </si>
  <si>
    <t>Azura Stevens</t>
  </si>
  <si>
    <t>Ajksa Sivka</t>
  </si>
  <si>
    <t>Brittney Griner</t>
  </si>
  <si>
    <t>2020, 2021, 2022</t>
  </si>
  <si>
    <t>Kennedy Burke</t>
  </si>
  <si>
    <t>Olivia Nelson-Ododa</t>
  </si>
  <si>
    <t>Diamond Miller</t>
  </si>
  <si>
    <t>Aaliyah Edwards</t>
  </si>
  <si>
    <t>Aneesah Morrow</t>
  </si>
  <si>
    <t>Saniya Rivers</t>
  </si>
  <si>
    <t>Leila Lacan</t>
  </si>
  <si>
    <t>Shey Peddy</t>
  </si>
  <si>
    <t>Tina Charles</t>
  </si>
  <si>
    <t>2018, 2019, 2020</t>
  </si>
  <si>
    <t>Diamond DeShields</t>
  </si>
  <si>
    <t>Bria Hartley</t>
  </si>
  <si>
    <t>Haley Peters</t>
  </si>
  <si>
    <t>RFA</t>
  </si>
  <si>
    <t>Gianna Kneepkens</t>
  </si>
  <si>
    <t>Nell Angloma</t>
  </si>
  <si>
    <t>Charlisse Leger-Walker</t>
  </si>
  <si>
    <t>Serah Williams</t>
  </si>
  <si>
    <t>Alanna Smith</t>
  </si>
  <si>
    <t>Arike Ogunbowale</t>
  </si>
  <si>
    <t>2026, 2027</t>
  </si>
  <si>
    <t>Jessica Shepard</t>
  </si>
  <si>
    <t>Awak Kuier</t>
  </si>
  <si>
    <t>Maddy Siegrist</t>
  </si>
  <si>
    <t>Paige Bueckers</t>
  </si>
  <si>
    <t>Lindsay Allen</t>
  </si>
  <si>
    <t>Aziaha James</t>
  </si>
  <si>
    <t>Rayah Marshall</t>
  </si>
  <si>
    <t>JJ Quinerly</t>
  </si>
  <si>
    <t>Grace Berger</t>
  </si>
  <si>
    <t>Dulcy Fankam Mendjiadeu</t>
  </si>
  <si>
    <t>Li Yueru</t>
  </si>
  <si>
    <t>Costanza Verona</t>
  </si>
  <si>
    <t>Shyanne Sellers</t>
  </si>
  <si>
    <t>Amy Okonkwo</t>
  </si>
  <si>
    <t>Tyasha Harris</t>
  </si>
  <si>
    <t>Myisha Hines-Allen</t>
  </si>
  <si>
    <t>Lou Lopez Sénéchal</t>
  </si>
  <si>
    <t>A. Ogunbowale</t>
  </si>
  <si>
    <t>Azzi Fudd</t>
  </si>
  <si>
    <t>Zee Spearman</t>
  </si>
  <si>
    <t>Gabby Williams</t>
  </si>
  <si>
    <t>Veronica Burton</t>
  </si>
  <si>
    <t>Kayla Thornton</t>
  </si>
  <si>
    <t>Kaila Charles</t>
  </si>
  <si>
    <t>Cecilia Zandalasini</t>
  </si>
  <si>
    <t>Kiah Stokes</t>
  </si>
  <si>
    <t>Kate Martin</t>
  </si>
  <si>
    <t>Cate Reese</t>
  </si>
  <si>
    <t>Mariella Fasoula</t>
  </si>
  <si>
    <t>Miela Sowah</t>
  </si>
  <si>
    <t>Monique Billings</t>
  </si>
  <si>
    <t>Temi Fagbenle</t>
  </si>
  <si>
    <t>Tiffany Hayes</t>
  </si>
  <si>
    <t>Laeticia Amihere</t>
  </si>
  <si>
    <t>Kaitlyn Chen</t>
  </si>
  <si>
    <t>Iliana Rupert</t>
  </si>
  <si>
    <t>Juste Jocyte</t>
  </si>
  <si>
    <t>Ashlon Jackson</t>
  </si>
  <si>
    <t>Kokoro Tanaka</t>
  </si>
  <si>
    <t>Marta Suarez</t>
  </si>
  <si>
    <t>Aliyah Boston</t>
  </si>
  <si>
    <t>Caitlin Clark</t>
  </si>
  <si>
    <t>Makayla Timpson</t>
  </si>
  <si>
    <t>Kelsey Mitchell</t>
  </si>
  <si>
    <t>Sydney Colson</t>
  </si>
  <si>
    <t>Sophie Cunningham</t>
  </si>
  <si>
    <t>Damiris Dantas</t>
  </si>
  <si>
    <t>Aari McDonald</t>
  </si>
  <si>
    <t>Lexie Hull</t>
  </si>
  <si>
    <t>Raven Johnson</t>
  </si>
  <si>
    <t>Jessica Timmons</t>
  </si>
  <si>
    <t>Justine Pissott</t>
  </si>
  <si>
    <t>K. Mitchell</t>
  </si>
  <si>
    <t>Jackie Young</t>
  </si>
  <si>
    <t>Chelsea Gray</t>
  </si>
  <si>
    <t>Jewell Loyd</t>
  </si>
  <si>
    <t>NaLyssa Smith</t>
  </si>
  <si>
    <t>Stephanie Talbot</t>
  </si>
  <si>
    <t>Dana Evans</t>
  </si>
  <si>
    <t>Kierstan Bell</t>
  </si>
  <si>
    <t>Cheyenne Parker-Tyus</t>
  </si>
  <si>
    <t>Brianna Turner</t>
  </si>
  <si>
    <t>A'ja Wilson</t>
  </si>
  <si>
    <t>Janiah Barker</t>
  </si>
  <si>
    <t>Jordan Obi</t>
  </si>
  <si>
    <t>Dearica Hamby</t>
  </si>
  <si>
    <t>Ariel Atkins</t>
  </si>
  <si>
    <t>Kelsey Plum</t>
  </si>
  <si>
    <t>2025, 2026</t>
  </si>
  <si>
    <t>Nneka Ogwumike</t>
  </si>
  <si>
    <t>2021, 2022</t>
  </si>
  <si>
    <t>Erica Wheeler</t>
  </si>
  <si>
    <t>Cameron Brink</t>
  </si>
  <si>
    <t>Sania Feagin</t>
  </si>
  <si>
    <t>Emma Cannon</t>
  </si>
  <si>
    <t>Julie Vanloo</t>
  </si>
  <si>
    <t>Rae Burrell</t>
  </si>
  <si>
    <t>Alissa Pili</t>
  </si>
  <si>
    <t>Ameilia Hassett</t>
  </si>
  <si>
    <t>Chance Gray</t>
  </si>
  <si>
    <t>Ta'Niya Latson</t>
  </si>
  <si>
    <t>K. Plum</t>
  </si>
  <si>
    <t>Kayla McBride</t>
  </si>
  <si>
    <t>Courtney Williams</t>
  </si>
  <si>
    <t>Natasha Howard</t>
  </si>
  <si>
    <t>2021, 2022, 2023, 2024</t>
  </si>
  <si>
    <t>Nia Coffey</t>
  </si>
  <si>
    <t>Dorka Juhasz</t>
  </si>
  <si>
    <t>Anastasiia Olairi Kosu</t>
  </si>
  <si>
    <t>Jaylyn Sherrod</t>
  </si>
  <si>
    <t>Aubrey Griffin</t>
  </si>
  <si>
    <t>Antonia Delaere</t>
  </si>
  <si>
    <t>Eliska Hamzova</t>
  </si>
  <si>
    <t>Emma Cechova</t>
  </si>
  <si>
    <t>Reigan Richardson</t>
  </si>
  <si>
    <t>Napheesa Collier</t>
  </si>
  <si>
    <t>Olivia Miles</t>
  </si>
  <si>
    <t>Maia Hirsch</t>
  </si>
  <si>
    <t>Lani White</t>
  </si>
  <si>
    <t>N. Collier</t>
  </si>
  <si>
    <t>Kahleah Copper</t>
  </si>
  <si>
    <t>Alyssa Thomas</t>
  </si>
  <si>
    <t>Sami Whitcomb</t>
  </si>
  <si>
    <t>DeWanna Bonner</t>
  </si>
  <si>
    <t>2015, 2016, 2018, 2019</t>
  </si>
  <si>
    <t>Kalani Brown</t>
  </si>
  <si>
    <t>Kyara Linskens</t>
  </si>
  <si>
    <t>Jaime Nared</t>
  </si>
  <si>
    <t>Aisha Sheppard</t>
  </si>
  <si>
    <t>Kiana Williams</t>
  </si>
  <si>
    <t>Ashten Prechtel</t>
  </si>
  <si>
    <t>Lauren Jensen</t>
  </si>
  <si>
    <t>Morgan Maly</t>
  </si>
  <si>
    <t>Noemie Brochant</t>
  </si>
  <si>
    <t>Quionche Carter</t>
  </si>
  <si>
    <t>Satou Sabally</t>
  </si>
  <si>
    <t>Monique Akoa Makani</t>
  </si>
  <si>
    <t>Natasha Mack</t>
  </si>
  <si>
    <t>Kathryn Westbeld</t>
  </si>
  <si>
    <t>Helena Pueyo</t>
  </si>
  <si>
    <t>Julia Ayrault</t>
  </si>
  <si>
    <t>Klara Lundquist</t>
  </si>
  <si>
    <t>Valériane Ayayi</t>
  </si>
  <si>
    <t>Eszter Ratkai</t>
  </si>
  <si>
    <t>Ines Pitarch-Granel</t>
  </si>
  <si>
    <t>Bridget Carleton</t>
  </si>
  <si>
    <t>Megan Gustafson</t>
  </si>
  <si>
    <t>Karlie Samuelson</t>
  </si>
  <si>
    <t>Haley Jones</t>
  </si>
  <si>
    <t>Nika Muhl</t>
  </si>
  <si>
    <t>Sarah Ashlee Barker</t>
  </si>
  <si>
    <t>Carla Leite</t>
  </si>
  <si>
    <t>Nyadiew Puoch</t>
  </si>
  <si>
    <t>Chloe Bibby</t>
  </si>
  <si>
    <t>Maya Caldwell</t>
  </si>
  <si>
    <t>Emily Engstler</t>
  </si>
  <si>
    <t>Sug Sutton</t>
  </si>
  <si>
    <t>Luisa Geiselsoder</t>
  </si>
  <si>
    <t>Iyana Martin</t>
  </si>
  <si>
    <t>Taylor Bigby</t>
  </si>
  <si>
    <t>Frieda Buhner</t>
  </si>
  <si>
    <t>B. Carleton</t>
  </si>
  <si>
    <t>Ezi Magbegor</t>
  </si>
  <si>
    <t>Natisha Hiedeman</t>
  </si>
  <si>
    <t>Stefanie Dolson</t>
  </si>
  <si>
    <t>Jade Melbourne</t>
  </si>
  <si>
    <t>Dominique Malonga</t>
  </si>
  <si>
    <t>Katie Lou Samuelson</t>
  </si>
  <si>
    <t>Jordan Horston</t>
  </si>
  <si>
    <t>Lexie Brown</t>
  </si>
  <si>
    <t>Zia Cooke</t>
  </si>
  <si>
    <t>Mackenzie Holmes</t>
  </si>
  <si>
    <t>Tiffany Mitchell</t>
  </si>
  <si>
    <t>Awa Fam</t>
  </si>
  <si>
    <t>Flau'jae Johnson</t>
  </si>
  <si>
    <t>Taina Mair</t>
  </si>
  <si>
    <t>Grace VanSlooten</t>
  </si>
  <si>
    <t>E. Magbegor</t>
  </si>
  <si>
    <t>Marina Mabrey</t>
  </si>
  <si>
    <t>Brittney Sykes</t>
  </si>
  <si>
    <t>Nyara Sabally</t>
  </si>
  <si>
    <t>Julie Allemand</t>
  </si>
  <si>
    <t>Isabelle Harrison</t>
  </si>
  <si>
    <t>Aaliyah Nye</t>
  </si>
  <si>
    <t>Lexi Held</t>
  </si>
  <si>
    <t>Kitija Laksa</t>
  </si>
  <si>
    <t>Kristy Wallace</t>
  </si>
  <si>
    <t>Elizabeth Balogun</t>
  </si>
  <si>
    <t>Maddison Rocci</t>
  </si>
  <si>
    <t>Maria Conde</t>
  </si>
  <si>
    <t>Maria Kliundikova</t>
  </si>
  <si>
    <t>Laura Juskaite</t>
  </si>
  <si>
    <t>Nikolina Milic</t>
  </si>
  <si>
    <t>Kiki Rice</t>
  </si>
  <si>
    <t>Adja Kane</t>
  </si>
  <si>
    <t>Charlise Dunn</t>
  </si>
  <si>
    <t>Saffron Shiels</t>
  </si>
  <si>
    <t>Teonni Key</t>
  </si>
  <si>
    <t>M. Mabrey</t>
  </si>
  <si>
    <t>Shakira Austin</t>
  </si>
  <si>
    <t>Michaela Onyenwere</t>
  </si>
  <si>
    <t>Sonia Citron</t>
  </si>
  <si>
    <t>Kiki Iriafen</t>
  </si>
  <si>
    <t>Georgia Amoore</t>
  </si>
  <si>
    <t>Lucy Olsen</t>
  </si>
  <si>
    <t>Madison Scott</t>
  </si>
  <si>
    <t>Alex Wilson</t>
  </si>
  <si>
    <t>Alysha Clark</t>
  </si>
  <si>
    <t>Bernadett Hatar</t>
  </si>
  <si>
    <t>Lauren Betts</t>
  </si>
  <si>
    <t>Cotie McMahon</t>
  </si>
  <si>
    <t>Cassandre Prosper</t>
  </si>
  <si>
    <t>Darianna Littlepage-Buggs</t>
  </si>
  <si>
    <t>Nastja Claessens</t>
  </si>
  <si>
    <t>Rori Harmon</t>
  </si>
  <si>
    <t>Txell Alarcon</t>
  </si>
  <si>
    <t>Angela Dugalic</t>
  </si>
  <si>
    <t>Rookie Scale</t>
  </si>
  <si>
    <t>Janelle Salaun</t>
  </si>
  <si>
    <t>Mamignan Tourée</t>
  </si>
  <si>
    <t>% Cap</t>
  </si>
  <si>
    <t>Sika Koné</t>
  </si>
  <si>
    <t>Megan McConnell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</si>
</sst>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34" borderId="0" xfId="0" applyFill="1" applyAlignment="1">
      <alignment horizontal="center"/>
    </xf>
    <xf numFmtId="0" fontId="0" fillId="34" borderId="0" xfId="0" applyFill="1"/>
    <xf numFmtId="0" fontId="16" fillId="33" borderId="0" xfId="0" applyFont="1" applyFill="1" applyAlignment="1">
      <alignment horizontal="center"/>
    </xf>
    <xf numFmtId="0" fontId="16" fillId="33" borderId="0" xfId="0" applyFont="1" applyFill="1"/>
    <xf numFmtId="0" fontId="0" fillId="35" borderId="0" xfId="0" applyFill="1"/>
    <xf numFmtId="0" fontId="0" fillId="35" borderId="0" xfId="0" applyFill="1" applyAlignment="1">
      <alignment horizontal="center"/>
    </xf>
    <xf numFmtId="0" fontId="0" fillId="35" borderId="0" xfId="0" applyFill="1" applyAlignment="1">
      <alignment horizontal="left"/>
    </xf>
    <xf numFmtId="0" fontId="16" fillId="35" borderId="0" xfId="0" applyFont="1" applyFill="1"/>
    <xf numFmtId="1" fontId="0" fillId="35" borderId="0" xfId="0" applyNumberFormat="1" applyFill="1" applyAlignment="1">
      <alignment horizontal="center"/>
    </xf>
    <xf numFmtId="164" fontId="0" fillId="34" borderId="0" xfId="0" applyNumberFormat="1" applyFill="1" applyAlignment="1">
      <alignment horizontal="center"/>
    </xf>
    <xf numFmtId="164" fontId="0" fillId="35" borderId="0" xfId="0" applyNumberFormat="1" applyFill="1" applyAlignment="1">
      <alignment horizont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colors>
    <mruColors>
      <color rgb="FFCCFFCC"/>
      <color rgb="FFA500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F2350-C8A2-4120-A9FA-F27B9B3169BC}">
  <dimension ref="A1:B3"/>
  <sheetViews>
    <sheetView workbookViewId="0">
      <selection activeCell="F7" sqref="F7"/>
    </sheetView>
  </sheetViews>
  <sheetFormatPr baseColWidth="10" defaultRowHeight="15" x14ac:dyDescent="0.25"/>
  <cols>
    <col min="1" max="1" width="18" bestFit="1" customWidth="1"/>
  </cols>
  <sheetData>
    <row r="1" spans="1:2" x14ac:dyDescent="0.25">
      <c r="A1" t="s">
        <v>25</v>
      </c>
      <c r="B1" s="1">
        <v>7000000</v>
      </c>
    </row>
    <row r="2" spans="1:2" x14ac:dyDescent="0.25">
      <c r="A2" t="s">
        <v>38</v>
      </c>
      <c r="B2" s="1">
        <v>7</v>
      </c>
    </row>
    <row r="3" spans="1:2" x14ac:dyDescent="0.25">
      <c r="A3" t="s">
        <v>39</v>
      </c>
      <c r="B3" s="1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F75E6-69D9-45A3-8931-F8DDAB9D82B2}">
  <sheetPr>
    <tabColor rgb="FFFF0000"/>
  </sheetPr>
  <dimension ref="A1:I35"/>
  <sheetViews>
    <sheetView workbookViewId="0"/>
  </sheetViews>
  <sheetFormatPr baseColWidth="10" defaultColWidth="0" defaultRowHeight="15" customHeight="1" zeroHeight="1" x14ac:dyDescent="0.25"/>
  <cols>
    <col min="1" max="1" width="4.7109375" customWidth="1"/>
    <col min="2" max="2" width="30.7109375" customWidth="1"/>
    <col min="3" max="4" width="20.7109375" customWidth="1"/>
    <col min="5" max="6" width="15.7109375" customWidth="1"/>
    <col min="7" max="7" width="22.28515625" bestFit="1" customWidth="1"/>
    <col min="8" max="8" width="11.42578125" customWidth="1"/>
    <col min="9" max="9" width="0" hidden="1" customWidth="1"/>
    <col min="10" max="16384" width="11.42578125" hidden="1"/>
  </cols>
  <sheetData>
    <row r="1" spans="1:9" x14ac:dyDescent="0.25">
      <c r="A1" s="4" t="s">
        <v>28</v>
      </c>
      <c r="B1" s="5" t="s">
        <v>0</v>
      </c>
      <c r="C1" s="4">
        <v>2026</v>
      </c>
      <c r="D1" s="4" t="s">
        <v>1</v>
      </c>
      <c r="E1" s="4" t="s">
        <v>29</v>
      </c>
      <c r="F1" s="4" t="s">
        <v>304</v>
      </c>
      <c r="G1" s="6" t="s">
        <v>27</v>
      </c>
      <c r="H1" s="7">
        <f>Cap!B1-Dream!H2</f>
        <v>1044308</v>
      </c>
      <c r="I1" s="6"/>
    </row>
    <row r="2" spans="1:9" x14ac:dyDescent="0.25">
      <c r="A2" s="2">
        <v>1</v>
      </c>
      <c r="B2" s="3" t="s">
        <v>40</v>
      </c>
      <c r="C2" s="2">
        <v>1190000</v>
      </c>
      <c r="D2" s="2" t="s">
        <v>41</v>
      </c>
      <c r="E2" s="2" t="s">
        <v>34</v>
      </c>
      <c r="F2" s="11">
        <f>(C2/Cap!$B$1)*100</f>
        <v>17</v>
      </c>
      <c r="G2" s="6" t="s">
        <v>37</v>
      </c>
      <c r="H2" s="7" cm="1">
        <f t="array" ref="H2">SUM(SUMIFS(C2:C26, E2:E26, {"U";"V";"Rookie Scale"}))</f>
        <v>5955692</v>
      </c>
      <c r="I2" s="6"/>
    </row>
    <row r="3" spans="1:9" x14ac:dyDescent="0.25">
      <c r="A3" s="2">
        <f>A2+1</f>
        <v>2</v>
      </c>
      <c r="B3" s="3" t="s">
        <v>42</v>
      </c>
      <c r="C3" s="2">
        <v>1100000</v>
      </c>
      <c r="D3" s="2"/>
      <c r="E3" s="2" t="s">
        <v>34</v>
      </c>
      <c r="F3" s="11">
        <f>(C3/Cap!$B$1)*100</f>
        <v>15.714285714285714</v>
      </c>
      <c r="G3" s="6" t="s">
        <v>33</v>
      </c>
      <c r="H3" s="7" cm="1">
        <f t="array" ref="H3">SUM(SUMIFS(C2:C26, E2:E26, {"V";"Rookie Scale"}))</f>
        <v>4780000</v>
      </c>
      <c r="I3" s="6"/>
    </row>
    <row r="4" spans="1:9" x14ac:dyDescent="0.25">
      <c r="A4" s="2">
        <f t="shared" ref="A4:A26" si="0">A3+1</f>
        <v>3</v>
      </c>
      <c r="B4" s="3" t="s">
        <v>43</v>
      </c>
      <c r="C4" s="2">
        <v>1000000</v>
      </c>
      <c r="D4" s="2" t="s">
        <v>44</v>
      </c>
      <c r="E4" s="2" t="s">
        <v>34</v>
      </c>
      <c r="F4" s="11">
        <f>(C4/Cap!$B$1)*100</f>
        <v>14.285714285714285</v>
      </c>
      <c r="G4" s="8" t="s">
        <v>35</v>
      </c>
      <c r="H4" s="7" cm="1">
        <f t="array" ref="H4">SUM(COUNTIF(E2:E26,{"U";"V";"Rookie Scale"}))</f>
        <v>9</v>
      </c>
      <c r="I4" s="6"/>
    </row>
    <row r="5" spans="1:9" x14ac:dyDescent="0.25">
      <c r="A5" s="2">
        <f t="shared" si="0"/>
        <v>4</v>
      </c>
      <c r="B5" s="3" t="s">
        <v>45</v>
      </c>
      <c r="C5" s="2">
        <v>840000</v>
      </c>
      <c r="D5" s="2"/>
      <c r="E5" s="2" t="s">
        <v>34</v>
      </c>
      <c r="F5" s="11">
        <f>(C5/Cap!$B$1)*100</f>
        <v>12</v>
      </c>
      <c r="G5" s="8" t="s">
        <v>36</v>
      </c>
      <c r="H5" s="7" cm="1">
        <f t="array" ref="H5">SUM(COUNTIF(E2:E26,{"V";"Rookie Scale"}))</f>
        <v>5</v>
      </c>
      <c r="I5" s="6"/>
    </row>
    <row r="6" spans="1:9" x14ac:dyDescent="0.25">
      <c r="A6" s="2">
        <f t="shared" si="0"/>
        <v>5</v>
      </c>
      <c r="B6" s="3" t="s">
        <v>46</v>
      </c>
      <c r="C6" s="2">
        <v>650000</v>
      </c>
      <c r="D6" s="2" t="s">
        <v>15</v>
      </c>
      <c r="E6" s="2" t="s">
        <v>34</v>
      </c>
      <c r="F6" s="11">
        <f>(C6/Cap!$B$1)*100</f>
        <v>9.2857142857142865</v>
      </c>
      <c r="G6" s="8" t="s">
        <v>60</v>
      </c>
      <c r="H6" s="10">
        <f>H1/(Cap!B3-Dream!H4)</f>
        <v>348102.66666666669</v>
      </c>
      <c r="I6" s="6"/>
    </row>
    <row r="7" spans="1:9" x14ac:dyDescent="0.25">
      <c r="A7" s="2">
        <f t="shared" si="0"/>
        <v>6</v>
      </c>
      <c r="B7" s="3" t="s">
        <v>47</v>
      </c>
      <c r="C7" s="2">
        <v>350692</v>
      </c>
      <c r="D7" s="2"/>
      <c r="E7" s="2" t="s">
        <v>30</v>
      </c>
      <c r="F7" s="11">
        <f>(C7/Cap!$B$1)*100</f>
        <v>5.0098857142857138</v>
      </c>
      <c r="G7" s="8" t="s">
        <v>304</v>
      </c>
      <c r="H7" s="12">
        <f>(H2/Cap!$B$1)*100</f>
        <v>85.081314285714285</v>
      </c>
      <c r="I7" s="6"/>
    </row>
    <row r="8" spans="1:9" x14ac:dyDescent="0.25">
      <c r="A8" s="2">
        <f t="shared" si="0"/>
        <v>7</v>
      </c>
      <c r="B8" s="3" t="s">
        <v>48</v>
      </c>
      <c r="C8" s="2">
        <v>277500</v>
      </c>
      <c r="D8" s="2"/>
      <c r="E8" s="2" t="s">
        <v>30</v>
      </c>
      <c r="F8" s="11">
        <f>(C8/Cap!$B$1)*100</f>
        <v>3.964285714285714</v>
      </c>
      <c r="G8" s="6"/>
      <c r="H8" s="6"/>
      <c r="I8" s="6"/>
    </row>
    <row r="9" spans="1:9" x14ac:dyDescent="0.25">
      <c r="A9" s="2">
        <f t="shared" si="0"/>
        <v>8</v>
      </c>
      <c r="B9" s="3" t="s">
        <v>49</v>
      </c>
      <c r="C9" s="2">
        <v>277500</v>
      </c>
      <c r="D9" s="2"/>
      <c r="E9" s="2" t="s">
        <v>30</v>
      </c>
      <c r="F9" s="11">
        <f>(C9/Cap!$B$1)*100</f>
        <v>3.964285714285714</v>
      </c>
      <c r="G9" s="6"/>
      <c r="H9" s="6"/>
      <c r="I9" s="6"/>
    </row>
    <row r="10" spans="1:9" x14ac:dyDescent="0.25">
      <c r="A10" s="2">
        <f t="shared" si="0"/>
        <v>9</v>
      </c>
      <c r="B10" s="3" t="s">
        <v>50</v>
      </c>
      <c r="C10" s="2">
        <v>277500</v>
      </c>
      <c r="D10" s="2"/>
      <c r="E10" s="2" t="s">
        <v>31</v>
      </c>
      <c r="F10" s="11">
        <f>(C10/Cap!$B$1)*100</f>
        <v>3.964285714285714</v>
      </c>
      <c r="G10" s="6"/>
      <c r="H10" s="6"/>
      <c r="I10" s="6"/>
    </row>
    <row r="11" spans="1:9" x14ac:dyDescent="0.25">
      <c r="A11" s="2">
        <f t="shared" si="0"/>
        <v>10</v>
      </c>
      <c r="B11" s="3" t="s">
        <v>305</v>
      </c>
      <c r="C11" s="2">
        <v>277500</v>
      </c>
      <c r="D11" s="2"/>
      <c r="E11" s="2" t="s">
        <v>31</v>
      </c>
      <c r="F11" s="11">
        <f>(C11/Cap!$B$1)*100</f>
        <v>3.964285714285714</v>
      </c>
      <c r="G11" s="6"/>
      <c r="H11" s="6"/>
      <c r="I11" s="6"/>
    </row>
    <row r="12" spans="1:9" x14ac:dyDescent="0.25">
      <c r="A12" s="2">
        <f t="shared" si="0"/>
        <v>11</v>
      </c>
      <c r="B12" s="3" t="s">
        <v>51</v>
      </c>
      <c r="C12" s="2">
        <v>270000</v>
      </c>
      <c r="D12" s="2"/>
      <c r="E12" s="2" t="s">
        <v>30</v>
      </c>
      <c r="F12" s="11">
        <f>(C12/Cap!$B$1)*100</f>
        <v>3.8571428571428568</v>
      </c>
      <c r="G12" s="6"/>
      <c r="H12" s="6"/>
      <c r="I12" s="6"/>
    </row>
    <row r="13" spans="1:9" x14ac:dyDescent="0.25">
      <c r="A13" s="2">
        <f t="shared" si="0"/>
        <v>12</v>
      </c>
      <c r="B13" s="3" t="s">
        <v>52</v>
      </c>
      <c r="C13" s="2">
        <v>270000</v>
      </c>
      <c r="D13" s="2"/>
      <c r="E13" s="2" t="s">
        <v>31</v>
      </c>
      <c r="F13" s="11">
        <f>(C13/Cap!$B$1)*100</f>
        <v>3.8571428571428568</v>
      </c>
      <c r="G13" s="6"/>
      <c r="H13" s="6"/>
      <c r="I13" s="6"/>
    </row>
    <row r="14" spans="1:9" x14ac:dyDescent="0.25">
      <c r="A14" s="2">
        <f t="shared" si="0"/>
        <v>13</v>
      </c>
      <c r="B14" s="3" t="s">
        <v>53</v>
      </c>
      <c r="C14" s="2">
        <v>270000</v>
      </c>
      <c r="D14" s="2"/>
      <c r="E14" s="2" t="s">
        <v>31</v>
      </c>
      <c r="F14" s="11">
        <f>(C14/Cap!$B$1)*100</f>
        <v>3.8571428571428568</v>
      </c>
      <c r="G14" s="6"/>
      <c r="H14" s="6"/>
      <c r="I14" s="6"/>
    </row>
    <row r="15" spans="1:9" x14ac:dyDescent="0.25">
      <c r="A15" s="2">
        <f t="shared" si="0"/>
        <v>14</v>
      </c>
      <c r="B15" s="3" t="s">
        <v>54</v>
      </c>
      <c r="C15" s="2" t="s">
        <v>10</v>
      </c>
      <c r="D15" s="2"/>
      <c r="E15" s="2"/>
      <c r="F15" s="11" t="e">
        <f>(C15/Cap!$B$1)*100</f>
        <v>#VALUE!</v>
      </c>
      <c r="G15" s="6"/>
      <c r="H15" s="6"/>
      <c r="I15" s="6"/>
    </row>
    <row r="16" spans="1:9" x14ac:dyDescent="0.25">
      <c r="A16" s="2">
        <f t="shared" si="0"/>
        <v>15</v>
      </c>
      <c r="B16" s="3" t="s">
        <v>55</v>
      </c>
      <c r="C16" s="2" t="s">
        <v>17</v>
      </c>
      <c r="D16" s="2"/>
      <c r="E16" s="3"/>
      <c r="F16" s="11" t="e">
        <f>(C16/Cap!$B$1)*100</f>
        <v>#VALUE!</v>
      </c>
      <c r="G16" s="6"/>
      <c r="H16" s="6"/>
      <c r="I16" s="6"/>
    </row>
    <row r="17" spans="1:9" x14ac:dyDescent="0.25">
      <c r="A17" s="2">
        <f t="shared" si="0"/>
        <v>16</v>
      </c>
      <c r="B17" s="3"/>
      <c r="C17" s="2"/>
      <c r="D17" s="2"/>
      <c r="E17" s="3"/>
      <c r="F17" s="11">
        <f>(C17/Cap!$B$1)*100</f>
        <v>0</v>
      </c>
      <c r="G17" s="6"/>
      <c r="H17" s="6"/>
      <c r="I17" s="6"/>
    </row>
    <row r="18" spans="1:9" x14ac:dyDescent="0.25">
      <c r="A18" s="2">
        <f t="shared" si="0"/>
        <v>17</v>
      </c>
      <c r="B18" s="3"/>
      <c r="C18" s="2"/>
      <c r="D18" s="2"/>
      <c r="E18" s="3"/>
      <c r="F18" s="11">
        <f>(C18/Cap!$B$1)*100</f>
        <v>0</v>
      </c>
      <c r="G18" s="6"/>
      <c r="H18" s="6"/>
      <c r="I18" s="6"/>
    </row>
    <row r="19" spans="1:9" x14ac:dyDescent="0.25">
      <c r="A19" s="2">
        <f t="shared" si="0"/>
        <v>18</v>
      </c>
      <c r="B19" s="3"/>
      <c r="C19" s="2"/>
      <c r="D19" s="2"/>
      <c r="E19" s="3"/>
      <c r="F19" s="11">
        <f>(C19/Cap!$B$1)*100</f>
        <v>0</v>
      </c>
      <c r="G19" s="6"/>
      <c r="H19" s="6"/>
      <c r="I19" s="6"/>
    </row>
    <row r="20" spans="1:9" x14ac:dyDescent="0.25">
      <c r="A20" s="2">
        <f t="shared" si="0"/>
        <v>19</v>
      </c>
      <c r="B20" s="3"/>
      <c r="C20" s="2"/>
      <c r="D20" s="2"/>
      <c r="E20" s="3"/>
      <c r="F20" s="11">
        <f>(C20/Cap!$B$1)*100</f>
        <v>0</v>
      </c>
      <c r="G20" s="6"/>
      <c r="H20" s="6"/>
      <c r="I20" s="6"/>
    </row>
    <row r="21" spans="1:9" x14ac:dyDescent="0.25">
      <c r="A21" s="2">
        <f t="shared" si="0"/>
        <v>20</v>
      </c>
      <c r="B21" s="3"/>
      <c r="C21" s="2"/>
      <c r="D21" s="2"/>
      <c r="E21" s="3"/>
      <c r="F21" s="11">
        <f>(C21/Cap!$B$1)*100</f>
        <v>0</v>
      </c>
      <c r="G21" s="6"/>
      <c r="H21" s="6"/>
      <c r="I21" s="6"/>
    </row>
    <row r="22" spans="1:9" x14ac:dyDescent="0.25">
      <c r="A22" s="2">
        <f t="shared" si="0"/>
        <v>21</v>
      </c>
      <c r="B22" s="3"/>
      <c r="C22" s="3"/>
      <c r="D22" s="3"/>
      <c r="E22" s="3"/>
      <c r="F22" s="11">
        <f>(C22/Cap!$B$1)*100</f>
        <v>0</v>
      </c>
      <c r="G22" s="6"/>
      <c r="H22" s="6"/>
      <c r="I22" s="6"/>
    </row>
    <row r="23" spans="1:9" x14ac:dyDescent="0.25">
      <c r="A23" s="2">
        <f t="shared" si="0"/>
        <v>22</v>
      </c>
      <c r="B23" s="3"/>
      <c r="C23" s="3"/>
      <c r="D23" s="3"/>
      <c r="E23" s="3"/>
      <c r="F23" s="11">
        <f>(C23/Cap!$B$1)*100</f>
        <v>0</v>
      </c>
      <c r="G23" s="6"/>
      <c r="H23" s="6"/>
      <c r="I23" s="6"/>
    </row>
    <row r="24" spans="1:9" x14ac:dyDescent="0.25">
      <c r="A24" s="2">
        <f>A23+1</f>
        <v>23</v>
      </c>
      <c r="B24" s="3"/>
      <c r="C24" s="3"/>
      <c r="D24" s="3"/>
      <c r="E24" s="3"/>
      <c r="F24" s="11">
        <f>(C24/Cap!$B$1)*100</f>
        <v>0</v>
      </c>
      <c r="G24" s="6"/>
      <c r="H24" s="6"/>
      <c r="I24" s="6"/>
    </row>
    <row r="25" spans="1:9" x14ac:dyDescent="0.25">
      <c r="A25" s="2">
        <f t="shared" si="0"/>
        <v>24</v>
      </c>
      <c r="B25" s="3"/>
      <c r="C25" s="3"/>
      <c r="D25" s="3"/>
      <c r="E25" s="3"/>
      <c r="F25" s="11">
        <f>(C25/Cap!$B$1)*100</f>
        <v>0</v>
      </c>
      <c r="G25" s="6"/>
      <c r="H25" s="6"/>
      <c r="I25" s="6"/>
    </row>
    <row r="26" spans="1:9" x14ac:dyDescent="0.25">
      <c r="A26" s="2">
        <f t="shared" si="0"/>
        <v>25</v>
      </c>
      <c r="B26" s="3"/>
      <c r="C26" s="3"/>
      <c r="D26" s="3"/>
      <c r="E26" s="3"/>
      <c r="F26" s="11">
        <f>(C26/Cap!$B$1)*100</f>
        <v>0</v>
      </c>
      <c r="G26" s="6"/>
      <c r="H26" s="6"/>
      <c r="I26" s="6"/>
    </row>
    <row r="27" spans="1:9" x14ac:dyDescent="0.25">
      <c r="A27" s="6"/>
      <c r="B27" s="9" t="s">
        <v>21</v>
      </c>
      <c r="C27" s="7" t="s">
        <v>56</v>
      </c>
      <c r="D27" s="6"/>
      <c r="E27" s="6"/>
      <c r="F27" s="6"/>
      <c r="G27" s="6"/>
      <c r="H27" s="6"/>
      <c r="I27" s="6"/>
    </row>
    <row r="28" spans="1:9" x14ac:dyDescent="0.25">
      <c r="A28" s="6"/>
      <c r="B28" s="9" t="s">
        <v>32</v>
      </c>
      <c r="C28" s="7"/>
      <c r="D28" s="6"/>
      <c r="E28" s="6"/>
      <c r="F28" s="6"/>
      <c r="G28" s="6"/>
      <c r="H28" s="6"/>
      <c r="I28" s="6"/>
    </row>
    <row r="29" spans="1:9" x14ac:dyDescent="0.25">
      <c r="A29" s="6"/>
      <c r="B29" s="6" t="s">
        <v>57</v>
      </c>
      <c r="C29" s="7">
        <v>289133</v>
      </c>
      <c r="D29" s="6"/>
      <c r="E29" s="6"/>
      <c r="F29" s="6"/>
      <c r="G29" s="6"/>
      <c r="H29" s="6"/>
      <c r="I29" s="6"/>
    </row>
    <row r="30" spans="1:9" x14ac:dyDescent="0.25">
      <c r="A30" s="6"/>
      <c r="B30" s="6" t="s">
        <v>58</v>
      </c>
      <c r="C30" s="7">
        <v>270000</v>
      </c>
      <c r="D30" s="6"/>
      <c r="E30" s="6"/>
      <c r="F30" s="6"/>
      <c r="G30" s="6"/>
      <c r="H30" s="6"/>
      <c r="I30" s="6"/>
    </row>
    <row r="31" spans="1:9" x14ac:dyDescent="0.25">
      <c r="A31" s="6"/>
      <c r="B31" s="6" t="s">
        <v>59</v>
      </c>
      <c r="C31" s="7">
        <v>270000</v>
      </c>
      <c r="D31" s="6"/>
      <c r="E31" s="6"/>
      <c r="F31" s="6"/>
      <c r="G31" s="6"/>
      <c r="H31" s="6"/>
      <c r="I31" s="6"/>
    </row>
    <row r="32" spans="1:9" x14ac:dyDescent="0.25">
      <c r="A32" s="6"/>
      <c r="B32" s="6"/>
      <c r="C32" s="7"/>
      <c r="D32" s="6"/>
      <c r="E32" s="6"/>
      <c r="F32" s="6"/>
      <c r="G32" s="6"/>
      <c r="H32" s="6"/>
      <c r="I32" s="6"/>
    </row>
    <row r="33" spans="1:9" x14ac:dyDescent="0.25">
      <c r="A33" s="6"/>
      <c r="B33" s="6"/>
      <c r="C33" s="7"/>
      <c r="D33" s="6"/>
      <c r="E33" s="6"/>
      <c r="F33" s="6"/>
      <c r="G33" s="6"/>
      <c r="H33" s="6"/>
      <c r="I33" s="6"/>
    </row>
    <row r="34" spans="1:9" x14ac:dyDescent="0.25">
      <c r="A34" s="6"/>
      <c r="B34" s="6"/>
      <c r="C34" s="7"/>
      <c r="D34" s="6"/>
      <c r="E34" s="6"/>
      <c r="F34" s="6"/>
      <c r="G34" s="6"/>
      <c r="H34" s="6"/>
      <c r="I34" s="6"/>
    </row>
    <row r="35" spans="1:9" x14ac:dyDescent="0.25">
      <c r="A35" s="6"/>
      <c r="B35" s="6"/>
      <c r="C35" s="6"/>
      <c r="D35" s="6"/>
      <c r="E35" s="6"/>
      <c r="F35" s="6"/>
      <c r="G35" s="6"/>
      <c r="I35" s="6"/>
    </row>
  </sheetData>
  <conditionalFormatting sqref="H4">
    <cfRule type="colorScale" priority="1">
      <colorScale>
        <cfvo type="min"/>
        <cfvo type="max"/>
        <color rgb="FF63BE7B"/>
        <color rgb="FFFCFCFF"/>
      </colorScale>
    </cfRule>
  </conditionalFormatting>
  <pageMargins left="0.7" right="0.7" top="0.75" bottom="0.75" header="0.3" footer="0.3"/>
  <ignoredErrors>
    <ignoredError sqref="F15:F16" evalErro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03511-F4DC-429A-AE70-60F0F2E38598}">
  <sheetPr>
    <tabColor rgb="FFFFFF00"/>
  </sheetPr>
  <dimension ref="A1:I35"/>
  <sheetViews>
    <sheetView workbookViewId="0"/>
  </sheetViews>
  <sheetFormatPr baseColWidth="10" defaultColWidth="0" defaultRowHeight="15" customHeight="1" zeroHeight="1" x14ac:dyDescent="0.25"/>
  <cols>
    <col min="1" max="1" width="4.7109375" customWidth="1"/>
    <col min="2" max="2" width="30.7109375" customWidth="1"/>
    <col min="3" max="4" width="20.7109375" customWidth="1"/>
    <col min="5" max="6" width="15.7109375" customWidth="1"/>
    <col min="7" max="7" width="22.28515625" bestFit="1" customWidth="1"/>
    <col min="8" max="8" width="11.42578125" customWidth="1"/>
    <col min="9" max="9" width="0" hidden="1" customWidth="1"/>
    <col min="10" max="16384" width="11.42578125" hidden="1"/>
  </cols>
  <sheetData>
    <row r="1" spans="1:9" x14ac:dyDescent="0.25">
      <c r="A1" s="4" t="s">
        <v>28</v>
      </c>
      <c r="B1" s="5" t="s">
        <v>0</v>
      </c>
      <c r="C1" s="4">
        <v>2026</v>
      </c>
      <c r="D1" s="4" t="s">
        <v>1</v>
      </c>
      <c r="E1" s="4" t="s">
        <v>29</v>
      </c>
      <c r="F1" s="4" t="s">
        <v>304</v>
      </c>
      <c r="G1" s="6" t="s">
        <v>27</v>
      </c>
      <c r="H1" s="7">
        <f>Cap!B1-Sky!H2</f>
        <v>524387</v>
      </c>
      <c r="I1" s="6"/>
    </row>
    <row r="2" spans="1:9" x14ac:dyDescent="0.25">
      <c r="A2" s="2">
        <v>1</v>
      </c>
      <c r="B2" s="3" t="s">
        <v>79</v>
      </c>
      <c r="C2" s="2">
        <v>1000000</v>
      </c>
      <c r="D2" s="2"/>
      <c r="E2" s="2" t="s">
        <v>34</v>
      </c>
      <c r="F2" s="11">
        <f>(C2/Cap!$B$1)*100</f>
        <v>14.285714285714285</v>
      </c>
      <c r="G2" s="6" t="s">
        <v>37</v>
      </c>
      <c r="H2" s="7" cm="1">
        <f t="array" ref="H2">SUM(SUMIFS(C2:C26, E2:E26, {"U";"V";"Rookie Scale"}))</f>
        <v>6475613</v>
      </c>
      <c r="I2" s="6"/>
    </row>
    <row r="3" spans="1:9" x14ac:dyDescent="0.25">
      <c r="A3" s="2">
        <f>A2+1</f>
        <v>2</v>
      </c>
      <c r="B3" s="3" t="s">
        <v>61</v>
      </c>
      <c r="C3" s="2">
        <v>920000</v>
      </c>
      <c r="D3" s="2"/>
      <c r="E3" s="2" t="s">
        <v>34</v>
      </c>
      <c r="F3" s="11">
        <f>(C3/Cap!$B$1)*100</f>
        <v>13.142857142857142</v>
      </c>
      <c r="G3" s="6" t="s">
        <v>33</v>
      </c>
      <c r="H3" s="7" cm="1">
        <f t="array" ref="H3">SUM(SUMIFS(C2:C26, E2:E26, {"V";"Rookie Scale"}))</f>
        <v>4345000</v>
      </c>
      <c r="I3" s="6"/>
    </row>
    <row r="4" spans="1:9" x14ac:dyDescent="0.25">
      <c r="A4" s="2">
        <f t="shared" ref="A4:A26" si="0">A3+1</f>
        <v>3</v>
      </c>
      <c r="B4" s="3" t="s">
        <v>62</v>
      </c>
      <c r="C4" s="2">
        <v>750000</v>
      </c>
      <c r="D4" s="2">
        <v>2019</v>
      </c>
      <c r="E4" s="2" t="s">
        <v>34</v>
      </c>
      <c r="F4" s="11">
        <f>(C4/Cap!$B$1)*100</f>
        <v>10.714285714285714</v>
      </c>
      <c r="G4" s="8" t="s">
        <v>35</v>
      </c>
      <c r="H4" s="7" cm="1">
        <f t="array" ref="H4">SUM(COUNTIF(E2:E26,{"U";"V";"Rookie Scale"}))</f>
        <v>12</v>
      </c>
      <c r="I4" s="6"/>
    </row>
    <row r="5" spans="1:9" x14ac:dyDescent="0.25">
      <c r="A5" s="2">
        <f t="shared" si="0"/>
        <v>4</v>
      </c>
      <c r="B5" s="3" t="s">
        <v>63</v>
      </c>
      <c r="C5" s="2">
        <v>650000</v>
      </c>
      <c r="D5" s="2"/>
      <c r="E5" s="2" t="s">
        <v>34</v>
      </c>
      <c r="F5" s="11">
        <f>(C5/Cap!$B$1)*100</f>
        <v>9.2857142857142865</v>
      </c>
      <c r="G5" s="8" t="s">
        <v>36</v>
      </c>
      <c r="H5" s="7" cm="1">
        <f t="array" ref="H5">SUM(COUNTIF(E2:E26,{"V";"Rookie Scale"}))</f>
        <v>6</v>
      </c>
      <c r="I5" s="6"/>
    </row>
    <row r="6" spans="1:9" x14ac:dyDescent="0.25">
      <c r="A6" s="2">
        <f t="shared" si="0"/>
        <v>5</v>
      </c>
      <c r="B6" s="3" t="s">
        <v>64</v>
      </c>
      <c r="C6" s="2">
        <v>600000</v>
      </c>
      <c r="D6" s="2"/>
      <c r="E6" s="2" t="s">
        <v>34</v>
      </c>
      <c r="F6" s="11">
        <f>(C6/Cap!$B$1)*100</f>
        <v>8.5714285714285712</v>
      </c>
      <c r="G6" s="8" t="s">
        <v>60</v>
      </c>
      <c r="H6" s="10" t="e">
        <f>H1/(Cap!B3-Sky!H4)</f>
        <v>#DIV/0!</v>
      </c>
      <c r="I6" s="6"/>
    </row>
    <row r="7" spans="1:9" x14ac:dyDescent="0.25">
      <c r="A7" s="2">
        <f t="shared" si="0"/>
        <v>6</v>
      </c>
      <c r="B7" s="3" t="s">
        <v>65</v>
      </c>
      <c r="C7" s="2">
        <v>461171</v>
      </c>
      <c r="D7" s="2"/>
      <c r="E7" s="2" t="s">
        <v>30</v>
      </c>
      <c r="F7" s="11">
        <f>(C7/Cap!$B$1)*100</f>
        <v>6.5881571428571428</v>
      </c>
      <c r="G7" s="8" t="s">
        <v>304</v>
      </c>
      <c r="H7" s="12">
        <f>(H2/Cap!$B$1)*100</f>
        <v>92.508757142857149</v>
      </c>
      <c r="I7" s="6"/>
    </row>
    <row r="8" spans="1:9" x14ac:dyDescent="0.25">
      <c r="A8" s="2">
        <f t="shared" si="0"/>
        <v>7</v>
      </c>
      <c r="B8" s="3" t="s">
        <v>66</v>
      </c>
      <c r="C8" s="2">
        <v>430654</v>
      </c>
      <c r="D8" s="2"/>
      <c r="E8" s="2" t="s">
        <v>30</v>
      </c>
      <c r="F8" s="11">
        <f>(C8/Cap!$B$1)*100</f>
        <v>6.1521999999999997</v>
      </c>
      <c r="G8" s="6"/>
      <c r="H8" s="6"/>
      <c r="I8" s="6"/>
    </row>
    <row r="9" spans="1:9" x14ac:dyDescent="0.25">
      <c r="A9" s="2">
        <f t="shared" si="0"/>
        <v>8</v>
      </c>
      <c r="B9" s="3" t="s">
        <v>67</v>
      </c>
      <c r="C9" s="2">
        <v>425000</v>
      </c>
      <c r="D9" s="2"/>
      <c r="E9" s="2" t="s">
        <v>34</v>
      </c>
      <c r="F9" s="11">
        <f>(C9/Cap!$B$1)*100</f>
        <v>6.0714285714285712</v>
      </c>
      <c r="G9" s="6"/>
      <c r="H9" s="6"/>
      <c r="I9" s="6"/>
    </row>
    <row r="10" spans="1:9" x14ac:dyDescent="0.25">
      <c r="A10" s="2">
        <f t="shared" si="0"/>
        <v>9</v>
      </c>
      <c r="B10" s="3" t="s">
        <v>68</v>
      </c>
      <c r="C10" s="2">
        <v>402155</v>
      </c>
      <c r="D10" s="2"/>
      <c r="E10" s="2" t="s">
        <v>30</v>
      </c>
      <c r="F10" s="11">
        <f>(C10/Cap!$B$1)*100</f>
        <v>5.7450714285714284</v>
      </c>
      <c r="G10" s="6"/>
      <c r="H10" s="6"/>
      <c r="I10" s="6"/>
    </row>
    <row r="11" spans="1:9" x14ac:dyDescent="0.25">
      <c r="A11" s="2">
        <f t="shared" si="0"/>
        <v>10</v>
      </c>
      <c r="B11" s="3" t="s">
        <v>69</v>
      </c>
      <c r="C11" s="2">
        <v>289133</v>
      </c>
      <c r="D11" s="2"/>
      <c r="E11" s="2" t="s">
        <v>30</v>
      </c>
      <c r="F11" s="11">
        <f>(C11/Cap!$B$1)*100</f>
        <v>4.1304714285714281</v>
      </c>
      <c r="G11" s="6"/>
      <c r="H11" s="6"/>
      <c r="I11" s="6"/>
    </row>
    <row r="12" spans="1:9" x14ac:dyDescent="0.25">
      <c r="A12" s="2">
        <f t="shared" si="0"/>
        <v>11</v>
      </c>
      <c r="B12" s="3" t="s">
        <v>70</v>
      </c>
      <c r="C12" s="2">
        <v>277500</v>
      </c>
      <c r="D12" s="2"/>
      <c r="E12" s="2" t="s">
        <v>30</v>
      </c>
      <c r="F12" s="11">
        <f>(C12/Cap!$B$1)*100</f>
        <v>3.964285714285714</v>
      </c>
      <c r="G12" s="6"/>
      <c r="H12" s="6"/>
      <c r="I12" s="6"/>
    </row>
    <row r="13" spans="1:9" x14ac:dyDescent="0.25">
      <c r="A13" s="2">
        <f t="shared" si="0"/>
        <v>12</v>
      </c>
      <c r="B13" s="3" t="s">
        <v>71</v>
      </c>
      <c r="C13" s="2">
        <v>270000</v>
      </c>
      <c r="D13" s="2"/>
      <c r="E13" s="2" t="s">
        <v>30</v>
      </c>
      <c r="F13" s="11">
        <f>(C13/Cap!$B$1)*100</f>
        <v>3.8571428571428568</v>
      </c>
      <c r="G13" s="6"/>
      <c r="H13" s="6"/>
      <c r="I13" s="6"/>
    </row>
    <row r="14" spans="1:9" x14ac:dyDescent="0.25">
      <c r="A14" s="2">
        <f t="shared" si="0"/>
        <v>13</v>
      </c>
      <c r="B14" s="3" t="s">
        <v>72</v>
      </c>
      <c r="C14" s="2">
        <v>270000</v>
      </c>
      <c r="D14" s="2"/>
      <c r="E14" s="2" t="s">
        <v>31</v>
      </c>
      <c r="F14" s="11">
        <f>(C14/Cap!$B$1)*100</f>
        <v>3.8571428571428568</v>
      </c>
      <c r="G14" s="6"/>
      <c r="H14" s="6"/>
      <c r="I14" s="6"/>
    </row>
    <row r="15" spans="1:9" x14ac:dyDescent="0.25">
      <c r="A15" s="2">
        <f t="shared" si="0"/>
        <v>14</v>
      </c>
      <c r="B15" s="3" t="s">
        <v>73</v>
      </c>
      <c r="C15" s="2" t="s">
        <v>10</v>
      </c>
      <c r="D15" s="2"/>
      <c r="E15" s="2"/>
      <c r="F15" s="11" t="e">
        <f>(C15/Cap!$B$1)*100</f>
        <v>#VALUE!</v>
      </c>
      <c r="G15" s="6"/>
      <c r="H15" s="6"/>
      <c r="I15" s="6"/>
    </row>
    <row r="16" spans="1:9" x14ac:dyDescent="0.25">
      <c r="A16" s="2">
        <f t="shared" si="0"/>
        <v>15</v>
      </c>
      <c r="B16" s="3" t="s">
        <v>74</v>
      </c>
      <c r="C16" s="2" t="s">
        <v>17</v>
      </c>
      <c r="D16" s="2"/>
      <c r="E16" s="3"/>
      <c r="F16" s="11" t="e">
        <f>(C16/Cap!$B$1)*100</f>
        <v>#VALUE!</v>
      </c>
      <c r="G16" s="6"/>
      <c r="H16" s="6"/>
      <c r="I16" s="6"/>
    </row>
    <row r="17" spans="1:9" x14ac:dyDescent="0.25">
      <c r="A17" s="2">
        <f t="shared" si="0"/>
        <v>16</v>
      </c>
      <c r="B17" s="3"/>
      <c r="C17" s="2"/>
      <c r="D17" s="2"/>
      <c r="E17" s="3"/>
      <c r="F17" s="11">
        <f>(C17/Cap!$B$1)*100</f>
        <v>0</v>
      </c>
      <c r="G17" s="6"/>
      <c r="H17" s="6"/>
      <c r="I17" s="6"/>
    </row>
    <row r="18" spans="1:9" x14ac:dyDescent="0.25">
      <c r="A18" s="2">
        <f t="shared" si="0"/>
        <v>17</v>
      </c>
      <c r="B18" s="3"/>
      <c r="C18" s="2"/>
      <c r="D18" s="2"/>
      <c r="E18" s="3"/>
      <c r="F18" s="11">
        <f>(C18/Cap!$B$1)*100</f>
        <v>0</v>
      </c>
      <c r="G18" s="6"/>
      <c r="H18" s="6"/>
      <c r="I18" s="6"/>
    </row>
    <row r="19" spans="1:9" x14ac:dyDescent="0.25">
      <c r="A19" s="2">
        <f t="shared" si="0"/>
        <v>18</v>
      </c>
      <c r="B19" s="3"/>
      <c r="C19" s="2"/>
      <c r="D19" s="2"/>
      <c r="E19" s="3"/>
      <c r="F19" s="11">
        <f>(C19/Cap!$B$1)*100</f>
        <v>0</v>
      </c>
      <c r="G19" s="6"/>
      <c r="H19" s="6"/>
      <c r="I19" s="6"/>
    </row>
    <row r="20" spans="1:9" x14ac:dyDescent="0.25">
      <c r="A20" s="2">
        <f t="shared" si="0"/>
        <v>19</v>
      </c>
      <c r="B20" s="3"/>
      <c r="C20" s="2"/>
      <c r="D20" s="2"/>
      <c r="E20" s="3"/>
      <c r="F20" s="11">
        <f>(C20/Cap!$B$1)*100</f>
        <v>0</v>
      </c>
      <c r="G20" s="6"/>
      <c r="H20" s="6"/>
      <c r="I20" s="6"/>
    </row>
    <row r="21" spans="1:9" x14ac:dyDescent="0.25">
      <c r="A21" s="2">
        <f t="shared" si="0"/>
        <v>20</v>
      </c>
      <c r="B21" s="3"/>
      <c r="C21" s="2"/>
      <c r="D21" s="2"/>
      <c r="E21" s="3"/>
      <c r="F21" s="11">
        <f>(C21/Cap!$B$1)*100</f>
        <v>0</v>
      </c>
      <c r="G21" s="6"/>
      <c r="H21" s="6"/>
      <c r="I21" s="6"/>
    </row>
    <row r="22" spans="1:9" x14ac:dyDescent="0.25">
      <c r="A22" s="2">
        <f t="shared" si="0"/>
        <v>21</v>
      </c>
      <c r="B22" s="3"/>
      <c r="C22" s="3"/>
      <c r="D22" s="3"/>
      <c r="E22" s="3"/>
      <c r="F22" s="11">
        <f>(C22/Cap!$B$1)*100</f>
        <v>0</v>
      </c>
      <c r="G22" s="6"/>
      <c r="H22" s="6"/>
      <c r="I22" s="6"/>
    </row>
    <row r="23" spans="1:9" x14ac:dyDescent="0.25">
      <c r="A23" s="2">
        <f t="shared" si="0"/>
        <v>22</v>
      </c>
      <c r="B23" s="3"/>
      <c r="C23" s="3"/>
      <c r="D23" s="3"/>
      <c r="E23" s="3"/>
      <c r="F23" s="11">
        <f>(C23/Cap!$B$1)*100</f>
        <v>0</v>
      </c>
      <c r="G23" s="6"/>
      <c r="H23" s="6"/>
      <c r="I23" s="6"/>
    </row>
    <row r="24" spans="1:9" x14ac:dyDescent="0.25">
      <c r="A24" s="2">
        <f>A23+1</f>
        <v>23</v>
      </c>
      <c r="B24" s="3"/>
      <c r="C24" s="3"/>
      <c r="D24" s="3"/>
      <c r="E24" s="3"/>
      <c r="F24" s="11">
        <f>(C24/Cap!$B$1)*100</f>
        <v>0</v>
      </c>
      <c r="G24" s="6"/>
      <c r="H24" s="6"/>
      <c r="I24" s="6"/>
    </row>
    <row r="25" spans="1:9" x14ac:dyDescent="0.25">
      <c r="A25" s="2">
        <f t="shared" si="0"/>
        <v>24</v>
      </c>
      <c r="B25" s="3"/>
      <c r="C25" s="3"/>
      <c r="D25" s="3"/>
      <c r="E25" s="3"/>
      <c r="F25" s="11">
        <f>(C25/Cap!$B$1)*100</f>
        <v>0</v>
      </c>
      <c r="G25" s="6"/>
      <c r="H25" s="6"/>
      <c r="I25" s="6"/>
    </row>
    <row r="26" spans="1:9" x14ac:dyDescent="0.25">
      <c r="A26" s="2">
        <f t="shared" si="0"/>
        <v>25</v>
      </c>
      <c r="B26" s="3"/>
      <c r="C26" s="3"/>
      <c r="D26" s="3"/>
      <c r="E26" s="3"/>
      <c r="F26" s="11">
        <f>(C26/Cap!$B$1)*100</f>
        <v>0</v>
      </c>
      <c r="G26" s="6"/>
      <c r="H26" s="6"/>
      <c r="I26" s="6"/>
    </row>
    <row r="27" spans="1:9" x14ac:dyDescent="0.25">
      <c r="A27" s="6"/>
      <c r="B27" s="9" t="s">
        <v>21</v>
      </c>
      <c r="C27" s="7" t="s">
        <v>78</v>
      </c>
      <c r="D27" s="6"/>
      <c r="E27" s="6"/>
      <c r="F27" s="6"/>
      <c r="G27" s="6"/>
      <c r="H27" s="6"/>
      <c r="I27" s="6"/>
    </row>
    <row r="28" spans="1:9" x14ac:dyDescent="0.25">
      <c r="A28" s="6"/>
      <c r="B28" s="9" t="s">
        <v>32</v>
      </c>
      <c r="C28" s="7"/>
      <c r="D28" s="6"/>
      <c r="E28" s="6"/>
      <c r="F28" s="6"/>
      <c r="G28" s="6"/>
      <c r="H28" s="6"/>
      <c r="I28" s="6"/>
    </row>
    <row r="29" spans="1:9" x14ac:dyDescent="0.25">
      <c r="A29" s="6"/>
      <c r="B29" s="6" t="s">
        <v>75</v>
      </c>
      <c r="C29" s="7">
        <v>380219</v>
      </c>
      <c r="D29" s="6"/>
      <c r="E29" s="6"/>
      <c r="F29" s="6"/>
      <c r="G29" s="6"/>
      <c r="H29" s="6"/>
      <c r="I29" s="6"/>
    </row>
    <row r="30" spans="1:9" x14ac:dyDescent="0.25">
      <c r="A30" s="6"/>
      <c r="B30" s="6" t="s">
        <v>80</v>
      </c>
      <c r="C30" s="7">
        <v>289133</v>
      </c>
      <c r="D30" s="6"/>
      <c r="E30" s="6"/>
      <c r="F30" s="6"/>
      <c r="G30" s="6"/>
      <c r="H30" s="6"/>
      <c r="I30" s="6"/>
    </row>
    <row r="31" spans="1:9" x14ac:dyDescent="0.25">
      <c r="A31" s="6"/>
      <c r="B31" s="6" t="s">
        <v>76</v>
      </c>
      <c r="C31" s="7">
        <v>270000</v>
      </c>
      <c r="D31" s="6"/>
      <c r="E31" s="6"/>
      <c r="F31" s="6"/>
      <c r="G31" s="6"/>
      <c r="H31" s="6"/>
      <c r="I31" s="6"/>
    </row>
    <row r="32" spans="1:9" x14ac:dyDescent="0.25">
      <c r="A32" s="6"/>
      <c r="B32" s="6" t="s">
        <v>77</v>
      </c>
      <c r="C32" s="7">
        <v>270000</v>
      </c>
      <c r="D32" s="6"/>
      <c r="E32" s="6"/>
      <c r="F32" s="6"/>
      <c r="G32" s="6"/>
      <c r="H32" s="6"/>
      <c r="I32" s="6"/>
    </row>
    <row r="33" spans="1:9" x14ac:dyDescent="0.25">
      <c r="A33" s="6"/>
      <c r="B33" s="6"/>
      <c r="C33" s="7"/>
      <c r="D33" s="6"/>
      <c r="E33" s="6"/>
      <c r="F33" s="6"/>
      <c r="G33" s="6"/>
      <c r="H33" s="6"/>
      <c r="I33" s="6"/>
    </row>
    <row r="34" spans="1:9" x14ac:dyDescent="0.25">
      <c r="A34" s="6"/>
      <c r="B34" s="6"/>
      <c r="C34" s="7"/>
      <c r="D34" s="6"/>
      <c r="E34" s="6"/>
      <c r="F34" s="6"/>
      <c r="G34" s="6"/>
      <c r="H34" s="6"/>
      <c r="I34" s="6"/>
    </row>
    <row r="35" spans="1:9" x14ac:dyDescent="0.25">
      <c r="A35" s="6"/>
      <c r="B35" s="6"/>
      <c r="C35" s="6"/>
      <c r="D35" s="6"/>
      <c r="E35" s="6"/>
      <c r="F35" s="6"/>
      <c r="G35" s="6"/>
      <c r="I35" s="6"/>
    </row>
  </sheetData>
  <conditionalFormatting sqref="H4">
    <cfRule type="colorScale" priority="1">
      <colorScale>
        <cfvo type="min"/>
        <cfvo type="max"/>
        <color rgb="FF63BE7B"/>
        <color rgb="FFFCFCFF"/>
      </colorScale>
    </cfRule>
  </conditionalFormatting>
  <pageMargins left="0.7" right="0.7" top="0.75" bottom="0.75" header="0.3" footer="0.3"/>
  <ignoredErrors>
    <ignoredError sqref="F2:F16 H6" evalErro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1F0AE-1EF5-436D-9204-23786C836AF6}">
  <sheetPr>
    <tabColor theme="5"/>
  </sheetPr>
  <dimension ref="A1:I35"/>
  <sheetViews>
    <sheetView workbookViewId="0"/>
  </sheetViews>
  <sheetFormatPr baseColWidth="10" defaultColWidth="0" defaultRowHeight="15" customHeight="1" zeroHeight="1" x14ac:dyDescent="0.25"/>
  <cols>
    <col min="1" max="1" width="4.7109375" customWidth="1"/>
    <col min="2" max="2" width="30.7109375" customWidth="1"/>
    <col min="3" max="4" width="20.7109375" customWidth="1"/>
    <col min="5" max="6" width="15.7109375" customWidth="1"/>
    <col min="7" max="7" width="22.28515625" bestFit="1" customWidth="1"/>
    <col min="8" max="8" width="11.42578125" customWidth="1"/>
    <col min="9" max="9" width="0" hidden="1" customWidth="1"/>
    <col min="10" max="16384" width="11.42578125" hidden="1"/>
  </cols>
  <sheetData>
    <row r="1" spans="1:9" x14ac:dyDescent="0.25">
      <c r="A1" s="4" t="s">
        <v>28</v>
      </c>
      <c r="B1" s="5" t="s">
        <v>0</v>
      </c>
      <c r="C1" s="4">
        <v>2026</v>
      </c>
      <c r="D1" s="4" t="s">
        <v>1</v>
      </c>
      <c r="E1" s="4" t="s">
        <v>29</v>
      </c>
      <c r="F1" s="4" t="s">
        <v>304</v>
      </c>
      <c r="G1" s="6" t="s">
        <v>27</v>
      </c>
      <c r="H1" s="7">
        <f>Cap!B1-Sun!H2</f>
        <v>2232552</v>
      </c>
      <c r="I1" s="6"/>
    </row>
    <row r="2" spans="1:9" x14ac:dyDescent="0.25">
      <c r="A2" s="2">
        <v>1</v>
      </c>
      <c r="B2" s="3" t="s">
        <v>81</v>
      </c>
      <c r="C2" s="2">
        <v>1190000</v>
      </c>
      <c r="D2" s="2" t="s">
        <v>82</v>
      </c>
      <c r="E2" s="2" t="s">
        <v>34</v>
      </c>
      <c r="F2" s="11">
        <f>(C2/Cap!$B$1)*100</f>
        <v>17</v>
      </c>
      <c r="G2" s="6" t="s">
        <v>37</v>
      </c>
      <c r="H2" s="7" cm="1">
        <f t="array" ref="H2">SUM(SUMIFS(C2:C26, E2:E26, {"U";"V";"Rookie Scale"}))</f>
        <v>4767448</v>
      </c>
      <c r="I2" s="6"/>
    </row>
    <row r="3" spans="1:9" x14ac:dyDescent="0.25">
      <c r="A3" s="2">
        <f>A2+1</f>
        <v>2</v>
      </c>
      <c r="B3" s="3" t="s">
        <v>83</v>
      </c>
      <c r="C3" s="2">
        <v>1000000</v>
      </c>
      <c r="D3" s="2"/>
      <c r="E3" s="2" t="s">
        <v>34</v>
      </c>
      <c r="F3" s="11">
        <f>(C3/Cap!$B$1)*100</f>
        <v>14.285714285714285</v>
      </c>
      <c r="G3" s="6" t="s">
        <v>33</v>
      </c>
      <c r="H3" s="7" cm="1">
        <f t="array" ref="H3">SUM(SUMIFS(C2:C26, E2:E26, {"V";"Rookie Scale"}))</f>
        <v>3461588</v>
      </c>
      <c r="I3" s="6"/>
    </row>
    <row r="4" spans="1:9" x14ac:dyDescent="0.25">
      <c r="A4" s="2">
        <f t="shared" ref="A4:A26" si="0">A3+1</f>
        <v>3</v>
      </c>
      <c r="B4" s="3" t="s">
        <v>84</v>
      </c>
      <c r="C4" s="2">
        <v>735000</v>
      </c>
      <c r="D4" s="2"/>
      <c r="E4" s="2" t="s">
        <v>34</v>
      </c>
      <c r="F4" s="11">
        <f>(C4/Cap!$B$1)*100</f>
        <v>10.5</v>
      </c>
      <c r="G4" s="8" t="s">
        <v>35</v>
      </c>
      <c r="H4" s="7" cm="1">
        <f t="array" ref="H4">SUM(COUNTIF(E2:E26,{"U";"V";"Rookie Scale"}))</f>
        <v>8</v>
      </c>
      <c r="I4" s="6"/>
    </row>
    <row r="5" spans="1:9" x14ac:dyDescent="0.25">
      <c r="A5" s="2">
        <f t="shared" si="0"/>
        <v>4</v>
      </c>
      <c r="B5" s="3" t="s">
        <v>85</v>
      </c>
      <c r="C5" s="2">
        <v>536588</v>
      </c>
      <c r="D5" s="2"/>
      <c r="E5" s="2" t="s">
        <v>301</v>
      </c>
      <c r="F5" s="11">
        <f>(C5/Cap!$B$1)*100</f>
        <v>7.6655428571428565</v>
      </c>
      <c r="G5" s="8" t="s">
        <v>36</v>
      </c>
      <c r="H5" s="7" cm="1">
        <f t="array" ref="H5">SUM(COUNTIF(E2:E26,{"V";"Rookie Scale"}))</f>
        <v>4</v>
      </c>
      <c r="I5" s="6"/>
    </row>
    <row r="6" spans="1:9" x14ac:dyDescent="0.25">
      <c r="A6" s="2">
        <f t="shared" si="0"/>
        <v>5</v>
      </c>
      <c r="B6" s="3" t="s">
        <v>86</v>
      </c>
      <c r="C6" s="2">
        <v>375542</v>
      </c>
      <c r="D6" s="2"/>
      <c r="E6" s="2" t="s">
        <v>30</v>
      </c>
      <c r="F6" s="11">
        <f>(C6/Cap!$B$1)*100</f>
        <v>5.3648857142857143</v>
      </c>
      <c r="G6" s="8" t="s">
        <v>60</v>
      </c>
      <c r="H6" s="10">
        <f>H1/(Cap!B3-Sun!H4)</f>
        <v>558138</v>
      </c>
      <c r="I6" s="6"/>
    </row>
    <row r="7" spans="1:9" x14ac:dyDescent="0.25">
      <c r="A7" s="2">
        <f t="shared" si="0"/>
        <v>6</v>
      </c>
      <c r="B7" s="3" t="s">
        <v>87</v>
      </c>
      <c r="C7" s="2">
        <v>331563</v>
      </c>
      <c r="D7" s="2"/>
      <c r="E7" s="2" t="s">
        <v>30</v>
      </c>
      <c r="F7" s="11">
        <f>(C7/Cap!$B$1)*100</f>
        <v>4.7366142857142854</v>
      </c>
      <c r="G7" s="8" t="s">
        <v>304</v>
      </c>
      <c r="H7" s="12">
        <f>(H2/Cap!$B$1)*100</f>
        <v>68.106399999999994</v>
      </c>
      <c r="I7" s="6"/>
    </row>
    <row r="8" spans="1:9" x14ac:dyDescent="0.25">
      <c r="A8" s="2">
        <f t="shared" si="0"/>
        <v>7</v>
      </c>
      <c r="B8" s="3" t="s">
        <v>88</v>
      </c>
      <c r="C8" s="2">
        <v>309622</v>
      </c>
      <c r="D8" s="2"/>
      <c r="E8" s="2" t="s">
        <v>30</v>
      </c>
      <c r="F8" s="11">
        <f>(C8/Cap!$B$1)*100</f>
        <v>4.4231714285714281</v>
      </c>
      <c r="G8" s="6"/>
      <c r="H8" s="6"/>
      <c r="I8" s="6"/>
    </row>
    <row r="9" spans="1:9" x14ac:dyDescent="0.25">
      <c r="A9" s="2">
        <f t="shared" si="0"/>
        <v>8</v>
      </c>
      <c r="B9" s="3" t="s">
        <v>89</v>
      </c>
      <c r="C9" s="2">
        <v>289133</v>
      </c>
      <c r="D9" s="2"/>
      <c r="E9" s="2" t="s">
        <v>30</v>
      </c>
      <c r="F9" s="11">
        <f>(C9/Cap!$B$1)*100</f>
        <v>4.1304714285714281</v>
      </c>
      <c r="G9" s="6"/>
      <c r="H9" s="6"/>
      <c r="I9" s="6"/>
    </row>
    <row r="10" spans="1:9" x14ac:dyDescent="0.25">
      <c r="A10" s="2">
        <f t="shared" si="0"/>
        <v>9</v>
      </c>
      <c r="B10" s="3" t="s">
        <v>90</v>
      </c>
      <c r="C10" s="2">
        <v>277500</v>
      </c>
      <c r="D10" s="2"/>
      <c r="E10" s="2" t="s">
        <v>31</v>
      </c>
      <c r="F10" s="11">
        <f>(C10/Cap!$B$1)*100</f>
        <v>3.964285714285714</v>
      </c>
      <c r="G10" s="6"/>
      <c r="H10" s="6"/>
      <c r="I10" s="6"/>
    </row>
    <row r="11" spans="1:9" x14ac:dyDescent="0.25">
      <c r="A11" s="2">
        <f t="shared" si="0"/>
        <v>10</v>
      </c>
      <c r="B11" s="3" t="s">
        <v>303</v>
      </c>
      <c r="C11" s="2">
        <v>277500</v>
      </c>
      <c r="D11" s="2"/>
      <c r="E11" s="2" t="s">
        <v>31</v>
      </c>
      <c r="F11" s="11">
        <f>(C11/Cap!$B$1)*100</f>
        <v>3.964285714285714</v>
      </c>
      <c r="G11" s="6"/>
      <c r="H11" s="6"/>
      <c r="I11" s="6"/>
    </row>
    <row r="12" spans="1:9" x14ac:dyDescent="0.25">
      <c r="A12" s="2">
        <f t="shared" si="0"/>
        <v>11</v>
      </c>
      <c r="B12" s="3" t="s">
        <v>91</v>
      </c>
      <c r="C12" s="2" t="s">
        <v>10</v>
      </c>
      <c r="D12" s="2" t="s">
        <v>92</v>
      </c>
      <c r="E12" s="2"/>
      <c r="F12" s="11" t="e">
        <f>(C12/Cap!$B$1)*100</f>
        <v>#VALUE!</v>
      </c>
      <c r="G12" s="6"/>
      <c r="H12" s="6"/>
      <c r="I12" s="6"/>
    </row>
    <row r="13" spans="1:9" x14ac:dyDescent="0.25">
      <c r="A13" s="2">
        <f t="shared" si="0"/>
        <v>12</v>
      </c>
      <c r="B13" s="3" t="s">
        <v>93</v>
      </c>
      <c r="C13" s="2" t="s">
        <v>10</v>
      </c>
      <c r="D13" s="2"/>
      <c r="E13" s="2"/>
      <c r="F13" s="11" t="e">
        <f>(C13/Cap!$B$1)*100</f>
        <v>#VALUE!</v>
      </c>
      <c r="G13" s="6"/>
      <c r="H13" s="6"/>
      <c r="I13" s="6"/>
    </row>
    <row r="14" spans="1:9" x14ac:dyDescent="0.25">
      <c r="A14" s="2">
        <f t="shared" si="0"/>
        <v>13</v>
      </c>
      <c r="B14" s="3" t="s">
        <v>94</v>
      </c>
      <c r="C14" s="2" t="s">
        <v>10</v>
      </c>
      <c r="D14" s="2"/>
      <c r="E14" s="2"/>
      <c r="F14" s="11" t="e">
        <f>(C14/Cap!$B$1)*100</f>
        <v>#VALUE!</v>
      </c>
      <c r="G14" s="6"/>
      <c r="H14" s="6"/>
      <c r="I14" s="6"/>
    </row>
    <row r="15" spans="1:9" x14ac:dyDescent="0.25">
      <c r="A15" s="2">
        <f t="shared" si="0"/>
        <v>14</v>
      </c>
      <c r="B15" s="3" t="s">
        <v>95</v>
      </c>
      <c r="C15" s="2" t="s">
        <v>96</v>
      </c>
      <c r="D15" s="2"/>
      <c r="E15" s="2"/>
      <c r="F15" s="11" t="e">
        <f>(C15/Cap!$B$1)*100</f>
        <v>#VALUE!</v>
      </c>
      <c r="G15" s="6"/>
      <c r="H15" s="6"/>
      <c r="I15" s="6"/>
    </row>
    <row r="16" spans="1:9" x14ac:dyDescent="0.25">
      <c r="A16" s="2">
        <f t="shared" si="0"/>
        <v>15</v>
      </c>
      <c r="B16" s="3"/>
      <c r="C16" s="2"/>
      <c r="D16" s="2"/>
      <c r="E16" s="3"/>
      <c r="F16" s="11">
        <f>(C16/Cap!$B$1)*100</f>
        <v>0</v>
      </c>
      <c r="G16" s="6"/>
      <c r="H16" s="6"/>
      <c r="I16" s="6"/>
    </row>
    <row r="17" spans="1:9" x14ac:dyDescent="0.25">
      <c r="A17" s="2">
        <f t="shared" si="0"/>
        <v>16</v>
      </c>
      <c r="B17" s="3"/>
      <c r="C17" s="2"/>
      <c r="D17" s="2"/>
      <c r="E17" s="3"/>
      <c r="F17" s="11">
        <f>(C17/Cap!$B$1)*100</f>
        <v>0</v>
      </c>
      <c r="G17" s="6"/>
      <c r="H17" s="6"/>
      <c r="I17" s="6"/>
    </row>
    <row r="18" spans="1:9" x14ac:dyDescent="0.25">
      <c r="A18" s="2">
        <f t="shared" si="0"/>
        <v>17</v>
      </c>
      <c r="B18" s="3"/>
      <c r="C18" s="2"/>
      <c r="D18" s="2"/>
      <c r="E18" s="3"/>
      <c r="F18" s="11">
        <f>(C18/Cap!$B$1)*100</f>
        <v>0</v>
      </c>
      <c r="G18" s="6"/>
      <c r="H18" s="6"/>
      <c r="I18" s="6"/>
    </row>
    <row r="19" spans="1:9" x14ac:dyDescent="0.25">
      <c r="A19" s="2">
        <f t="shared" si="0"/>
        <v>18</v>
      </c>
      <c r="B19" s="3"/>
      <c r="C19" s="2"/>
      <c r="D19" s="2"/>
      <c r="E19" s="3"/>
      <c r="F19" s="11">
        <f>(C19/Cap!$B$1)*100</f>
        <v>0</v>
      </c>
      <c r="G19" s="6"/>
      <c r="H19" s="6"/>
      <c r="I19" s="6"/>
    </row>
    <row r="20" spans="1:9" x14ac:dyDescent="0.25">
      <c r="A20" s="2">
        <f t="shared" si="0"/>
        <v>19</v>
      </c>
      <c r="B20" s="3"/>
      <c r="C20" s="2"/>
      <c r="D20" s="2"/>
      <c r="E20" s="3"/>
      <c r="F20" s="11">
        <f>(C20/Cap!$B$1)*100</f>
        <v>0</v>
      </c>
      <c r="G20" s="6"/>
      <c r="H20" s="6"/>
      <c r="I20" s="6"/>
    </row>
    <row r="21" spans="1:9" x14ac:dyDescent="0.25">
      <c r="A21" s="2">
        <f t="shared" si="0"/>
        <v>20</v>
      </c>
      <c r="B21" s="3"/>
      <c r="C21" s="2"/>
      <c r="D21" s="2"/>
      <c r="E21" s="3"/>
      <c r="F21" s="11">
        <f>(C21/Cap!$B$1)*100</f>
        <v>0</v>
      </c>
      <c r="G21" s="6"/>
      <c r="H21" s="6"/>
      <c r="I21" s="6"/>
    </row>
    <row r="22" spans="1:9" x14ac:dyDescent="0.25">
      <c r="A22" s="2">
        <f t="shared" si="0"/>
        <v>21</v>
      </c>
      <c r="B22" s="3"/>
      <c r="C22" s="3"/>
      <c r="D22" s="3"/>
      <c r="E22" s="3"/>
      <c r="F22" s="11">
        <f>(C22/Cap!$B$1)*100</f>
        <v>0</v>
      </c>
      <c r="G22" s="6"/>
      <c r="H22" s="6"/>
      <c r="I22" s="6"/>
    </row>
    <row r="23" spans="1:9" x14ac:dyDescent="0.25">
      <c r="A23" s="2">
        <f t="shared" si="0"/>
        <v>22</v>
      </c>
      <c r="B23" s="3"/>
      <c r="C23" s="3"/>
      <c r="D23" s="3"/>
      <c r="E23" s="3"/>
      <c r="F23" s="11">
        <f>(C23/Cap!$B$1)*100</f>
        <v>0</v>
      </c>
      <c r="G23" s="6"/>
      <c r="H23" s="6"/>
      <c r="I23" s="6"/>
    </row>
    <row r="24" spans="1:9" x14ac:dyDescent="0.25">
      <c r="A24" s="2">
        <f>A23+1</f>
        <v>23</v>
      </c>
      <c r="B24" s="3"/>
      <c r="C24" s="3"/>
      <c r="D24" s="3"/>
      <c r="E24" s="3"/>
      <c r="F24" s="11">
        <f>(C24/Cap!$B$1)*100</f>
        <v>0</v>
      </c>
      <c r="G24" s="6"/>
      <c r="H24" s="6"/>
      <c r="I24" s="6"/>
    </row>
    <row r="25" spans="1:9" x14ac:dyDescent="0.25">
      <c r="A25" s="2">
        <f t="shared" si="0"/>
        <v>24</v>
      </c>
      <c r="B25" s="3"/>
      <c r="C25" s="3"/>
      <c r="D25" s="3"/>
      <c r="E25" s="3"/>
      <c r="F25" s="11">
        <f>(C25/Cap!$B$1)*100</f>
        <v>0</v>
      </c>
      <c r="G25" s="6"/>
      <c r="H25" s="6"/>
      <c r="I25" s="6"/>
    </row>
    <row r="26" spans="1:9" x14ac:dyDescent="0.25">
      <c r="A26" s="2">
        <f t="shared" si="0"/>
        <v>25</v>
      </c>
      <c r="B26" s="3"/>
      <c r="C26" s="3"/>
      <c r="D26" s="3"/>
      <c r="E26" s="3"/>
      <c r="F26" s="11">
        <f>(C26/Cap!$B$1)*100</f>
        <v>0</v>
      </c>
      <c r="G26" s="6"/>
      <c r="H26" s="6"/>
      <c r="I26" s="6"/>
    </row>
    <row r="27" spans="1:9" x14ac:dyDescent="0.25">
      <c r="A27" s="6"/>
      <c r="B27" s="9" t="s">
        <v>21</v>
      </c>
      <c r="C27" s="7" t="s">
        <v>78</v>
      </c>
      <c r="D27" s="6"/>
      <c r="E27" s="6"/>
      <c r="F27" s="6"/>
      <c r="G27" s="6"/>
      <c r="H27" s="6"/>
      <c r="I27" s="6"/>
    </row>
    <row r="28" spans="1:9" x14ac:dyDescent="0.25">
      <c r="A28" s="6"/>
      <c r="B28" s="9" t="s">
        <v>32</v>
      </c>
      <c r="C28" s="7"/>
      <c r="D28" s="6"/>
      <c r="E28" s="6"/>
      <c r="F28" s="6"/>
      <c r="G28" s="6"/>
      <c r="H28" s="6"/>
      <c r="I28" s="6"/>
    </row>
    <row r="29" spans="1:9" x14ac:dyDescent="0.25">
      <c r="A29" s="6"/>
      <c r="B29" s="6" t="s">
        <v>97</v>
      </c>
      <c r="C29" s="7">
        <v>289133</v>
      </c>
      <c r="D29" s="6"/>
      <c r="E29" s="6"/>
      <c r="F29" s="6"/>
      <c r="G29" s="6"/>
      <c r="H29" s="6"/>
      <c r="I29" s="6"/>
    </row>
    <row r="30" spans="1:9" x14ac:dyDescent="0.25">
      <c r="A30" s="6"/>
      <c r="B30" s="6" t="s">
        <v>98</v>
      </c>
      <c r="C30" s="7">
        <v>289133</v>
      </c>
      <c r="D30" s="6"/>
      <c r="E30" s="6"/>
      <c r="F30" s="6"/>
      <c r="G30" s="6"/>
      <c r="H30" s="6"/>
      <c r="I30" s="6"/>
    </row>
    <row r="31" spans="1:9" x14ac:dyDescent="0.25">
      <c r="A31" s="6"/>
      <c r="B31" s="6" t="s">
        <v>99</v>
      </c>
      <c r="C31" s="7">
        <v>270000</v>
      </c>
      <c r="D31" s="6"/>
      <c r="E31" s="6"/>
      <c r="F31" s="6"/>
      <c r="G31" s="6"/>
      <c r="H31" s="6"/>
      <c r="I31" s="6"/>
    </row>
    <row r="32" spans="1:9" x14ac:dyDescent="0.25">
      <c r="A32" s="6"/>
      <c r="B32" s="6" t="s">
        <v>100</v>
      </c>
      <c r="C32" s="7">
        <v>270000</v>
      </c>
      <c r="D32" s="6"/>
      <c r="E32" s="6"/>
      <c r="F32" s="6"/>
      <c r="G32" s="6"/>
      <c r="H32" s="6"/>
      <c r="I32" s="6"/>
    </row>
    <row r="33" spans="1:9" x14ac:dyDescent="0.25">
      <c r="A33" s="6"/>
      <c r="B33" s="6"/>
      <c r="C33" s="7"/>
      <c r="D33" s="6"/>
      <c r="E33" s="6"/>
      <c r="F33" s="6"/>
      <c r="G33" s="6"/>
      <c r="H33" s="6"/>
      <c r="I33" s="6"/>
    </row>
    <row r="34" spans="1:9" x14ac:dyDescent="0.25">
      <c r="A34" s="6"/>
      <c r="B34" s="6"/>
      <c r="C34" s="7"/>
      <c r="D34" s="6"/>
      <c r="E34" s="6"/>
      <c r="F34" s="6"/>
      <c r="G34" s="6"/>
      <c r="H34" s="6"/>
      <c r="I34" s="6"/>
    </row>
    <row r="35" spans="1:9" x14ac:dyDescent="0.25">
      <c r="A35" s="6"/>
      <c r="B35" s="6"/>
      <c r="C35" s="6"/>
      <c r="D35" s="6"/>
      <c r="E35" s="6"/>
      <c r="F35" s="6"/>
      <c r="G35" s="6"/>
      <c r="I35" s="6"/>
    </row>
  </sheetData>
  <conditionalFormatting sqref="H4">
    <cfRule type="colorScale" priority="1">
      <colorScale>
        <cfvo type="min"/>
        <cfvo type="max"/>
        <color rgb="FF63BE7B"/>
        <color rgb="FFFCFCFF"/>
      </colorScale>
    </cfRule>
  </conditionalFormatting>
  <pageMargins left="0.7" right="0.7" top="0.75" bottom="0.75" header="0.3" footer="0.3"/>
  <ignoredErrors>
    <ignoredError sqref="F12:F26" evalErro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6A3ED-4F56-40EF-90B0-7E2B4AD41D2A}">
  <sheetPr>
    <tabColor theme="9" tint="0.39997558519241921"/>
  </sheetPr>
  <dimension ref="A1:I35"/>
  <sheetViews>
    <sheetView workbookViewId="0"/>
  </sheetViews>
  <sheetFormatPr baseColWidth="10" defaultColWidth="0" defaultRowHeight="15" customHeight="1" zeroHeight="1" x14ac:dyDescent="0.25"/>
  <cols>
    <col min="1" max="1" width="4.7109375" customWidth="1"/>
    <col min="2" max="2" width="30.7109375" customWidth="1"/>
    <col min="3" max="4" width="20.7109375" customWidth="1"/>
    <col min="5" max="6" width="15.7109375" customWidth="1"/>
    <col min="7" max="7" width="22.28515625" bestFit="1" customWidth="1"/>
    <col min="8" max="8" width="11.42578125" customWidth="1"/>
    <col min="9" max="9" width="0" hidden="1" customWidth="1"/>
    <col min="10" max="16384" width="11.42578125" hidden="1"/>
  </cols>
  <sheetData>
    <row r="1" spans="1:9" x14ac:dyDescent="0.25">
      <c r="A1" s="4" t="s">
        <v>28</v>
      </c>
      <c r="B1" s="5" t="s">
        <v>0</v>
      </c>
      <c r="C1" s="4">
        <v>2026</v>
      </c>
      <c r="D1" s="4" t="s">
        <v>1</v>
      </c>
      <c r="E1" s="4" t="s">
        <v>29</v>
      </c>
      <c r="F1" s="4" t="s">
        <v>304</v>
      </c>
      <c r="G1" s="6" t="s">
        <v>27</v>
      </c>
      <c r="H1" s="7">
        <f>Cap!B1-Wings!H2</f>
        <v>839787</v>
      </c>
      <c r="I1" s="6"/>
    </row>
    <row r="2" spans="1:9" x14ac:dyDescent="0.25">
      <c r="A2" s="2">
        <v>1</v>
      </c>
      <c r="B2" s="3" t="s">
        <v>101</v>
      </c>
      <c r="C2" s="2">
        <v>1190000</v>
      </c>
      <c r="D2" s="2"/>
      <c r="E2" s="2" t="s">
        <v>34</v>
      </c>
      <c r="F2" s="11">
        <f>(C2/Cap!$B$1)*100</f>
        <v>17</v>
      </c>
      <c r="G2" s="6" t="s">
        <v>37</v>
      </c>
      <c r="H2" s="7" cm="1">
        <f t="array" ref="H2">SUM(SUMIFS(C2:C26, E2:E26, {"U";"V";"Rookie Scale"}))</f>
        <v>6160213</v>
      </c>
      <c r="I2" s="6"/>
    </row>
    <row r="3" spans="1:9" x14ac:dyDescent="0.25">
      <c r="A3" s="2">
        <f>A2+1</f>
        <v>2</v>
      </c>
      <c r="B3" s="3" t="s">
        <v>102</v>
      </c>
      <c r="C3" s="2">
        <v>1190000</v>
      </c>
      <c r="D3" s="2" t="s">
        <v>103</v>
      </c>
      <c r="E3" s="2" t="s">
        <v>34</v>
      </c>
      <c r="F3" s="11">
        <f>(C3/Cap!$B$1)*100</f>
        <v>17</v>
      </c>
      <c r="G3" s="6" t="s">
        <v>33</v>
      </c>
      <c r="H3" s="7" cm="1">
        <f t="array" ref="H3">SUM(SUMIFS(C2:C26, E2:E26, {"V";"Rookie Scale"}))</f>
        <v>4406080</v>
      </c>
      <c r="I3" s="6"/>
    </row>
    <row r="4" spans="1:9" x14ac:dyDescent="0.25">
      <c r="A4" s="2">
        <f t="shared" ref="A4:A26" si="0">A3+1</f>
        <v>3</v>
      </c>
      <c r="B4" s="3" t="s">
        <v>104</v>
      </c>
      <c r="C4" s="2">
        <v>1000000</v>
      </c>
      <c r="D4" s="2"/>
      <c r="E4" s="2" t="s">
        <v>34</v>
      </c>
      <c r="F4" s="11">
        <f>(C4/Cap!$B$1)*100</f>
        <v>14.285714285714285</v>
      </c>
      <c r="G4" s="8" t="s">
        <v>35</v>
      </c>
      <c r="H4" s="7" cm="1">
        <f t="array" ref="H4">SUM(COUNTIF(E2:E26,{"U";"V";"Rookie Scale"}))</f>
        <v>10</v>
      </c>
      <c r="I4" s="6"/>
    </row>
    <row r="5" spans="1:9" x14ac:dyDescent="0.25">
      <c r="A5" s="2">
        <f t="shared" si="0"/>
        <v>4</v>
      </c>
      <c r="B5" s="3" t="s">
        <v>105</v>
      </c>
      <c r="C5" s="2">
        <v>525000</v>
      </c>
      <c r="D5" s="2"/>
      <c r="E5" s="2" t="s">
        <v>34</v>
      </c>
      <c r="F5" s="11">
        <f>(C5/Cap!$B$1)*100</f>
        <v>7.5</v>
      </c>
      <c r="G5" s="8" t="s">
        <v>36</v>
      </c>
      <c r="H5" s="7" cm="1">
        <f t="array" ref="H5">SUM(COUNTIF(E2:E26,{"V";"Rookie Scale"}))</f>
        <v>5</v>
      </c>
      <c r="I5" s="6"/>
    </row>
    <row r="6" spans="1:9" x14ac:dyDescent="0.25">
      <c r="A6" s="2">
        <f t="shared" si="0"/>
        <v>5</v>
      </c>
      <c r="B6" s="3" t="s">
        <v>106</v>
      </c>
      <c r="C6" s="2">
        <v>501080</v>
      </c>
      <c r="D6" s="2"/>
      <c r="E6" s="2" t="s">
        <v>301</v>
      </c>
      <c r="F6" s="11">
        <f>(C6/Cap!$B$1)*100</f>
        <v>7.1582857142857144</v>
      </c>
      <c r="G6" s="8" t="s">
        <v>60</v>
      </c>
      <c r="H6" s="10">
        <f>H1/(Cap!B3-Wings!H4)</f>
        <v>419893.5</v>
      </c>
      <c r="I6" s="6"/>
    </row>
    <row r="7" spans="1:9" x14ac:dyDescent="0.25">
      <c r="A7" s="2">
        <f t="shared" si="0"/>
        <v>6</v>
      </c>
      <c r="B7" s="3" t="s">
        <v>107</v>
      </c>
      <c r="C7" s="2">
        <v>500000</v>
      </c>
      <c r="D7" s="2"/>
      <c r="E7" s="2" t="s">
        <v>30</v>
      </c>
      <c r="F7" s="11">
        <f>(C7/Cap!$B$1)*100</f>
        <v>7.1428571428571423</v>
      </c>
      <c r="G7" s="8" t="s">
        <v>304</v>
      </c>
      <c r="H7" s="12">
        <f>(H2/Cap!$B$1)*100</f>
        <v>88.003042857142859</v>
      </c>
      <c r="I7" s="6"/>
    </row>
    <row r="8" spans="1:9" x14ac:dyDescent="0.25">
      <c r="A8" s="2">
        <f t="shared" si="0"/>
        <v>7</v>
      </c>
      <c r="B8" s="3" t="s">
        <v>108</v>
      </c>
      <c r="C8" s="2">
        <v>410000</v>
      </c>
      <c r="D8" s="2"/>
      <c r="E8" s="2" t="s">
        <v>30</v>
      </c>
      <c r="F8" s="11">
        <f>(C8/Cap!$B$1)*100</f>
        <v>5.8571428571428577</v>
      </c>
      <c r="G8" s="6"/>
      <c r="H8" s="6"/>
      <c r="I8" s="6"/>
    </row>
    <row r="9" spans="1:9" x14ac:dyDescent="0.25">
      <c r="A9" s="2">
        <f t="shared" si="0"/>
        <v>8</v>
      </c>
      <c r="B9" s="3" t="s">
        <v>109</v>
      </c>
      <c r="C9" s="2">
        <v>289133</v>
      </c>
      <c r="D9" s="2"/>
      <c r="E9" s="2" t="s">
        <v>30</v>
      </c>
      <c r="F9" s="11">
        <f>(C9/Cap!$B$1)*100</f>
        <v>4.1304714285714281</v>
      </c>
      <c r="G9" s="6"/>
      <c r="H9" s="6"/>
      <c r="I9" s="6"/>
    </row>
    <row r="10" spans="1:9" x14ac:dyDescent="0.25">
      <c r="A10" s="2">
        <f t="shared" si="0"/>
        <v>9</v>
      </c>
      <c r="B10" s="3" t="s">
        <v>110</v>
      </c>
      <c r="C10" s="2">
        <v>277500</v>
      </c>
      <c r="D10" s="2"/>
      <c r="E10" s="2" t="s">
        <v>30</v>
      </c>
      <c r="F10" s="11">
        <f>(C10/Cap!$B$1)*100</f>
        <v>3.964285714285714</v>
      </c>
      <c r="G10" s="6"/>
      <c r="H10" s="6"/>
      <c r="I10" s="6"/>
    </row>
    <row r="11" spans="1:9" x14ac:dyDescent="0.25">
      <c r="A11" s="2">
        <f t="shared" si="0"/>
        <v>10</v>
      </c>
      <c r="B11" s="3" t="s">
        <v>111</v>
      </c>
      <c r="C11" s="2">
        <v>277500</v>
      </c>
      <c r="D11" s="2"/>
      <c r="E11" s="2" t="s">
        <v>30</v>
      </c>
      <c r="F11" s="11">
        <f>(C11/Cap!$B$1)*100</f>
        <v>3.964285714285714</v>
      </c>
      <c r="G11" s="6"/>
      <c r="H11" s="6"/>
      <c r="I11" s="6"/>
    </row>
    <row r="12" spans="1:9" x14ac:dyDescent="0.25">
      <c r="A12" s="2">
        <f t="shared" si="0"/>
        <v>11</v>
      </c>
      <c r="B12" s="3" t="s">
        <v>112</v>
      </c>
      <c r="C12" s="2">
        <v>277500</v>
      </c>
      <c r="D12" s="2"/>
      <c r="E12" s="2" t="s">
        <v>31</v>
      </c>
      <c r="F12" s="11">
        <f>(C12/Cap!$B$1)*100</f>
        <v>3.964285714285714</v>
      </c>
      <c r="G12" s="6"/>
      <c r="H12" s="6"/>
      <c r="I12" s="6"/>
    </row>
    <row r="13" spans="1:9" x14ac:dyDescent="0.25">
      <c r="A13" s="2">
        <f t="shared" si="0"/>
        <v>12</v>
      </c>
      <c r="B13" s="3" t="s">
        <v>113</v>
      </c>
      <c r="C13" s="2">
        <v>277500</v>
      </c>
      <c r="D13" s="2"/>
      <c r="E13" s="2" t="s">
        <v>31</v>
      </c>
      <c r="F13" s="11">
        <f>(C13/Cap!$B$1)*100</f>
        <v>3.964285714285714</v>
      </c>
      <c r="G13" s="6"/>
      <c r="H13" s="6"/>
      <c r="I13" s="6"/>
    </row>
    <row r="14" spans="1:9" x14ac:dyDescent="0.25">
      <c r="A14" s="2">
        <f t="shared" si="0"/>
        <v>13</v>
      </c>
      <c r="B14" s="3" t="s">
        <v>114</v>
      </c>
      <c r="C14" s="2">
        <v>277500</v>
      </c>
      <c r="D14" s="2"/>
      <c r="E14" s="2" t="s">
        <v>31</v>
      </c>
      <c r="F14" s="11">
        <f>(C14/Cap!$B$1)*100</f>
        <v>3.964285714285714</v>
      </c>
      <c r="G14" s="6"/>
      <c r="H14" s="6"/>
      <c r="I14" s="6"/>
    </row>
    <row r="15" spans="1:9" x14ac:dyDescent="0.25">
      <c r="A15" s="2">
        <f t="shared" si="0"/>
        <v>14</v>
      </c>
      <c r="B15" s="3" t="s">
        <v>115</v>
      </c>
      <c r="C15" s="2">
        <v>270000</v>
      </c>
      <c r="D15" s="2"/>
      <c r="E15" s="2" t="s">
        <v>31</v>
      </c>
      <c r="F15" s="11">
        <f>(C15/Cap!$B$1)*100</f>
        <v>3.8571428571428568</v>
      </c>
      <c r="G15" s="6"/>
      <c r="H15" s="6"/>
      <c r="I15" s="6"/>
    </row>
    <row r="16" spans="1:9" x14ac:dyDescent="0.25">
      <c r="A16" s="2">
        <f t="shared" si="0"/>
        <v>15</v>
      </c>
      <c r="B16" s="3" t="s">
        <v>116</v>
      </c>
      <c r="C16" s="2">
        <v>270000</v>
      </c>
      <c r="D16" s="2"/>
      <c r="E16" s="2" t="s">
        <v>31</v>
      </c>
      <c r="F16" s="11">
        <f>(C16/Cap!$B$1)*100</f>
        <v>3.8571428571428568</v>
      </c>
      <c r="G16" s="6"/>
      <c r="H16" s="6"/>
      <c r="I16" s="6"/>
    </row>
    <row r="17" spans="1:9" x14ac:dyDescent="0.25">
      <c r="A17" s="2">
        <f t="shared" si="0"/>
        <v>16</v>
      </c>
      <c r="B17" s="3" t="s">
        <v>117</v>
      </c>
      <c r="C17" s="2">
        <v>270000</v>
      </c>
      <c r="D17" s="2"/>
      <c r="E17" s="2" t="s">
        <v>31</v>
      </c>
      <c r="F17" s="11">
        <f>(C17/Cap!$B$1)*100</f>
        <v>3.8571428571428568</v>
      </c>
      <c r="G17" s="6"/>
      <c r="H17" s="6"/>
      <c r="I17" s="6"/>
    </row>
    <row r="18" spans="1:9" x14ac:dyDescent="0.25">
      <c r="A18" s="2">
        <f t="shared" si="0"/>
        <v>17</v>
      </c>
      <c r="B18" s="3" t="s">
        <v>118</v>
      </c>
      <c r="C18" s="2" t="s">
        <v>10</v>
      </c>
      <c r="D18" s="2"/>
      <c r="E18" s="3"/>
      <c r="F18" s="11" t="e">
        <f>(C18/Cap!$B$1)*100</f>
        <v>#VALUE!</v>
      </c>
      <c r="G18" s="6"/>
      <c r="H18" s="6"/>
      <c r="I18" s="6"/>
    </row>
    <row r="19" spans="1:9" x14ac:dyDescent="0.25">
      <c r="A19" s="2">
        <f t="shared" si="0"/>
        <v>18</v>
      </c>
      <c r="B19" s="3" t="s">
        <v>119</v>
      </c>
      <c r="C19" s="2" t="s">
        <v>10</v>
      </c>
      <c r="D19" s="2"/>
      <c r="E19" s="3"/>
      <c r="F19" s="11" t="e">
        <f>(C19/Cap!$B$1)*100</f>
        <v>#VALUE!</v>
      </c>
      <c r="G19" s="6"/>
      <c r="H19" s="6"/>
      <c r="I19" s="6"/>
    </row>
    <row r="20" spans="1:9" x14ac:dyDescent="0.25">
      <c r="A20" s="2">
        <f t="shared" si="0"/>
        <v>19</v>
      </c>
      <c r="B20" s="3" t="s">
        <v>120</v>
      </c>
      <c r="C20" s="2" t="s">
        <v>19</v>
      </c>
      <c r="D20" s="2"/>
      <c r="E20" s="3"/>
      <c r="F20" s="11" t="e">
        <f>(C20/Cap!$B$1)*100</f>
        <v>#VALUE!</v>
      </c>
      <c r="G20" s="6"/>
      <c r="H20" s="6"/>
      <c r="I20" s="6"/>
    </row>
    <row r="21" spans="1:9" x14ac:dyDescent="0.25">
      <c r="A21" s="2">
        <f t="shared" si="0"/>
        <v>20</v>
      </c>
      <c r="B21" s="3"/>
      <c r="C21" s="2"/>
      <c r="D21" s="2"/>
      <c r="E21" s="3"/>
      <c r="F21" s="11">
        <f>(C21/Cap!$B$1)*100</f>
        <v>0</v>
      </c>
      <c r="G21" s="6"/>
      <c r="H21" s="6"/>
      <c r="I21" s="6"/>
    </row>
    <row r="22" spans="1:9" x14ac:dyDescent="0.25">
      <c r="A22" s="2">
        <f t="shared" si="0"/>
        <v>21</v>
      </c>
      <c r="B22" s="3"/>
      <c r="C22" s="3"/>
      <c r="D22" s="3"/>
      <c r="E22" s="3"/>
      <c r="F22" s="11">
        <f>(C22/Cap!$B$1)*100</f>
        <v>0</v>
      </c>
      <c r="G22" s="6"/>
      <c r="H22" s="6"/>
      <c r="I22" s="6"/>
    </row>
    <row r="23" spans="1:9" x14ac:dyDescent="0.25">
      <c r="A23" s="2">
        <f t="shared" si="0"/>
        <v>22</v>
      </c>
      <c r="B23" s="3"/>
      <c r="C23" s="3"/>
      <c r="D23" s="3"/>
      <c r="E23" s="3"/>
      <c r="F23" s="11">
        <f>(C23/Cap!$B$1)*100</f>
        <v>0</v>
      </c>
      <c r="G23" s="6"/>
      <c r="H23" s="6"/>
      <c r="I23" s="6"/>
    </row>
    <row r="24" spans="1:9" x14ac:dyDescent="0.25">
      <c r="A24" s="2">
        <f>A23+1</f>
        <v>23</v>
      </c>
      <c r="B24" s="3"/>
      <c r="C24" s="3"/>
      <c r="D24" s="3"/>
      <c r="E24" s="3"/>
      <c r="F24" s="11">
        <f>(C24/Cap!$B$1)*100</f>
        <v>0</v>
      </c>
      <c r="G24" s="6"/>
      <c r="H24" s="6"/>
      <c r="I24" s="6"/>
    </row>
    <row r="25" spans="1:9" x14ac:dyDescent="0.25">
      <c r="A25" s="2">
        <f t="shared" si="0"/>
        <v>24</v>
      </c>
      <c r="B25" s="3"/>
      <c r="C25" s="3"/>
      <c r="D25" s="3"/>
      <c r="E25" s="3"/>
      <c r="F25" s="11">
        <f>(C25/Cap!$B$1)*100</f>
        <v>0</v>
      </c>
      <c r="G25" s="6"/>
      <c r="H25" s="6"/>
      <c r="I25" s="6"/>
    </row>
    <row r="26" spans="1:9" x14ac:dyDescent="0.25">
      <c r="A26" s="2">
        <f t="shared" si="0"/>
        <v>25</v>
      </c>
      <c r="B26" s="3"/>
      <c r="C26" s="3"/>
      <c r="D26" s="3"/>
      <c r="E26" s="3"/>
      <c r="F26" s="11">
        <f>(C26/Cap!$B$1)*100</f>
        <v>0</v>
      </c>
      <c r="G26" s="6"/>
      <c r="H26" s="6"/>
      <c r="I26" s="6"/>
    </row>
    <row r="27" spans="1:9" x14ac:dyDescent="0.25">
      <c r="A27" s="6"/>
      <c r="B27" s="9" t="s">
        <v>21</v>
      </c>
      <c r="C27" s="7" t="s">
        <v>121</v>
      </c>
      <c r="D27" s="6"/>
      <c r="E27" s="6"/>
      <c r="F27" s="6"/>
      <c r="G27" s="6"/>
      <c r="H27" s="6"/>
      <c r="I27" s="6"/>
    </row>
    <row r="28" spans="1:9" x14ac:dyDescent="0.25">
      <c r="A28" s="6"/>
      <c r="B28" s="9" t="s">
        <v>32</v>
      </c>
      <c r="C28" s="7"/>
      <c r="D28" s="6"/>
      <c r="E28" s="6"/>
      <c r="F28" s="6"/>
      <c r="G28" s="6"/>
      <c r="H28" s="6"/>
      <c r="I28" s="6"/>
    </row>
    <row r="29" spans="1:9" x14ac:dyDescent="0.25">
      <c r="A29" s="6"/>
      <c r="B29" s="6" t="s">
        <v>122</v>
      </c>
      <c r="C29" s="7">
        <v>500000</v>
      </c>
      <c r="D29" s="6"/>
      <c r="E29" s="6"/>
      <c r="F29" s="6"/>
      <c r="G29" s="6"/>
      <c r="H29" s="6"/>
      <c r="I29" s="6"/>
    </row>
    <row r="30" spans="1:9" x14ac:dyDescent="0.25">
      <c r="A30" s="6"/>
      <c r="B30" s="6" t="s">
        <v>123</v>
      </c>
      <c r="C30" s="7">
        <v>270000</v>
      </c>
      <c r="D30" s="6"/>
      <c r="E30" s="6"/>
      <c r="F30" s="6"/>
      <c r="G30" s="6"/>
      <c r="H30" s="6"/>
      <c r="I30" s="6"/>
    </row>
    <row r="31" spans="1:9" x14ac:dyDescent="0.25">
      <c r="A31" s="6"/>
      <c r="B31" s="6"/>
      <c r="C31" s="7"/>
      <c r="D31" s="6"/>
      <c r="E31" s="6"/>
      <c r="F31" s="6"/>
      <c r="G31" s="6"/>
      <c r="H31" s="6"/>
      <c r="I31" s="6"/>
    </row>
    <row r="32" spans="1:9" x14ac:dyDescent="0.25">
      <c r="A32" s="6"/>
      <c r="B32" s="6"/>
      <c r="C32" s="7"/>
      <c r="D32" s="6"/>
      <c r="E32" s="6"/>
      <c r="F32" s="6"/>
      <c r="G32" s="6"/>
      <c r="H32" s="6"/>
      <c r="I32" s="6"/>
    </row>
    <row r="33" spans="1:9" x14ac:dyDescent="0.25">
      <c r="A33" s="6"/>
      <c r="B33" s="6"/>
      <c r="C33" s="7"/>
      <c r="D33" s="6"/>
      <c r="E33" s="6"/>
      <c r="F33" s="6"/>
      <c r="G33" s="6"/>
      <c r="H33" s="6"/>
      <c r="I33" s="6"/>
    </row>
    <row r="34" spans="1:9" x14ac:dyDescent="0.25">
      <c r="A34" s="6"/>
      <c r="B34" s="6"/>
      <c r="C34" s="7"/>
      <c r="D34" s="6"/>
      <c r="E34" s="6"/>
      <c r="F34" s="6"/>
      <c r="G34" s="6"/>
      <c r="H34" s="6"/>
      <c r="I34" s="6"/>
    </row>
    <row r="35" spans="1:9" x14ac:dyDescent="0.25">
      <c r="A35" s="6"/>
      <c r="B35" s="6"/>
      <c r="C35" s="6"/>
      <c r="D35" s="6"/>
      <c r="E35" s="6"/>
      <c r="F35" s="6"/>
      <c r="G35" s="6"/>
      <c r="I35" s="6"/>
    </row>
  </sheetData>
  <conditionalFormatting sqref="H4">
    <cfRule type="colorScale" priority="1">
      <colorScale>
        <cfvo type="min"/>
        <cfvo type="max"/>
        <color rgb="FF63BE7B"/>
        <color rgb="FFFCFCFF"/>
      </colorScale>
    </cfRule>
  </conditionalFormatting>
  <pageMargins left="0.7" right="0.7" top="0.75" bottom="0.75" header="0.3" footer="0.3"/>
  <ignoredErrors>
    <ignoredError sqref="F18:F20" evalError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E90D2-A6FC-4CB8-9D02-A86F30505FCA}">
  <sheetPr>
    <tabColor theme="8" tint="0.39997558519241921"/>
  </sheetPr>
  <dimension ref="A1:I35"/>
  <sheetViews>
    <sheetView workbookViewId="0"/>
  </sheetViews>
  <sheetFormatPr baseColWidth="10" defaultColWidth="0" defaultRowHeight="15" customHeight="1" zeroHeight="1" x14ac:dyDescent="0.25"/>
  <cols>
    <col min="1" max="1" width="4.7109375" customWidth="1"/>
    <col min="2" max="2" width="30.7109375" customWidth="1"/>
    <col min="3" max="4" width="20.7109375" customWidth="1"/>
    <col min="5" max="6" width="15.7109375" customWidth="1"/>
    <col min="7" max="7" width="22.28515625" bestFit="1" customWidth="1"/>
    <col min="8" max="8" width="11.42578125" customWidth="1"/>
    <col min="9" max="9" width="0" hidden="1" customWidth="1"/>
    <col min="10" max="16384" width="11.42578125" hidden="1"/>
  </cols>
  <sheetData>
    <row r="1" spans="1:9" x14ac:dyDescent="0.25">
      <c r="A1" s="4" t="s">
        <v>28</v>
      </c>
      <c r="B1" s="5" t="s">
        <v>0</v>
      </c>
      <c r="C1" s="4">
        <v>2026</v>
      </c>
      <c r="D1" s="4" t="s">
        <v>1</v>
      </c>
      <c r="E1" s="4" t="s">
        <v>29</v>
      </c>
      <c r="F1" s="4" t="s">
        <v>304</v>
      </c>
      <c r="G1" s="6" t="s">
        <v>27</v>
      </c>
      <c r="H1" s="7">
        <f>Cap!B1-Valkyries!H2</f>
        <v>1986271</v>
      </c>
      <c r="I1" s="6"/>
    </row>
    <row r="2" spans="1:9" x14ac:dyDescent="0.25">
      <c r="A2" s="2">
        <v>1</v>
      </c>
      <c r="B2" s="3" t="s">
        <v>124</v>
      </c>
      <c r="C2" s="2">
        <v>1190000</v>
      </c>
      <c r="D2" s="2">
        <v>2025</v>
      </c>
      <c r="E2" s="2" t="s">
        <v>34</v>
      </c>
      <c r="F2" s="11">
        <f>(C2/Cap!$B$1)*100</f>
        <v>17</v>
      </c>
      <c r="G2" s="6" t="s">
        <v>37</v>
      </c>
      <c r="H2" s="7" cm="1">
        <f t="array" ref="H2">SUM(SUMIFS(C2:C26, E2:E26, {"U";"V";"Rookie Scale"}))</f>
        <v>5013729</v>
      </c>
      <c r="I2" s="6"/>
    </row>
    <row r="3" spans="1:9" x14ac:dyDescent="0.25">
      <c r="A3" s="2">
        <f>A2+1</f>
        <v>2</v>
      </c>
      <c r="B3" s="3" t="s">
        <v>125</v>
      </c>
      <c r="C3" s="2">
        <v>925000</v>
      </c>
      <c r="D3" s="2"/>
      <c r="E3" s="2" t="s">
        <v>34</v>
      </c>
      <c r="F3" s="11">
        <f>(C3/Cap!$B$1)*100</f>
        <v>13.214285714285715</v>
      </c>
      <c r="G3" s="6" t="s">
        <v>33</v>
      </c>
      <c r="H3" s="7" cm="1">
        <f t="array" ref="H3">SUM(SUMIFS(C2:C26, E2:E26, {"V";"Rookie Scale"}))</f>
        <v>3840000</v>
      </c>
      <c r="I3" s="6"/>
    </row>
    <row r="4" spans="1:9" x14ac:dyDescent="0.25">
      <c r="A4" s="2">
        <f t="shared" ref="A4:A26" si="0">A3+1</f>
        <v>3</v>
      </c>
      <c r="B4" s="3" t="s">
        <v>126</v>
      </c>
      <c r="C4" s="2">
        <v>750000</v>
      </c>
      <c r="D4" s="2"/>
      <c r="E4" s="2" t="s">
        <v>34</v>
      </c>
      <c r="F4" s="11">
        <f>(C4/Cap!$B$1)*100</f>
        <v>10.714285714285714</v>
      </c>
      <c r="G4" s="8" t="s">
        <v>35</v>
      </c>
      <c r="H4" s="7" cm="1">
        <f t="array" ref="H4">SUM(COUNTIF(E2:E26,{"U";"V";"Rookie Scale"}))</f>
        <v>8</v>
      </c>
      <c r="I4" s="6"/>
    </row>
    <row r="5" spans="1:9" x14ac:dyDescent="0.25">
      <c r="A5" s="2">
        <f t="shared" si="0"/>
        <v>4</v>
      </c>
      <c r="B5" s="3" t="s">
        <v>127</v>
      </c>
      <c r="C5" s="2">
        <v>600000</v>
      </c>
      <c r="D5" s="2"/>
      <c r="E5" s="2" t="s">
        <v>34</v>
      </c>
      <c r="F5" s="11">
        <f>(C5/Cap!$B$1)*100</f>
        <v>8.5714285714285712</v>
      </c>
      <c r="G5" s="8" t="s">
        <v>36</v>
      </c>
      <c r="H5" s="7" cm="1">
        <f t="array" ref="H5">SUM(COUNTIF(E2:E26,{"V";"Rookie Scale"}))</f>
        <v>5</v>
      </c>
      <c r="I5" s="6"/>
    </row>
    <row r="6" spans="1:9" x14ac:dyDescent="0.25">
      <c r="A6" s="2">
        <f t="shared" si="0"/>
        <v>5</v>
      </c>
      <c r="B6" s="3" t="s">
        <v>128</v>
      </c>
      <c r="C6" s="2">
        <v>500000</v>
      </c>
      <c r="D6" s="2"/>
      <c r="E6" s="2" t="s">
        <v>30</v>
      </c>
      <c r="F6" s="11">
        <f>(C6/Cap!$B$1)*100</f>
        <v>7.1428571428571423</v>
      </c>
      <c r="G6" s="8" t="s">
        <v>60</v>
      </c>
      <c r="H6" s="10">
        <f>H1/(Cap!B3-Valkyries!H4)</f>
        <v>496567.75</v>
      </c>
      <c r="I6" s="6"/>
    </row>
    <row r="7" spans="1:9" x14ac:dyDescent="0.25">
      <c r="A7" s="2">
        <f t="shared" si="0"/>
        <v>6</v>
      </c>
      <c r="B7" s="3" t="s">
        <v>140</v>
      </c>
      <c r="C7" s="2">
        <v>380219</v>
      </c>
      <c r="D7" s="2"/>
      <c r="E7" s="2" t="s">
        <v>30</v>
      </c>
      <c r="F7" s="11">
        <f>(C7/Cap!$B$1)*100</f>
        <v>5.4316999999999993</v>
      </c>
      <c r="G7" s="8" t="s">
        <v>304</v>
      </c>
      <c r="H7" s="12">
        <f>(H2/Cap!$B$1)*100</f>
        <v>71.62469999999999</v>
      </c>
      <c r="I7" s="6"/>
    </row>
    <row r="8" spans="1:9" x14ac:dyDescent="0.25">
      <c r="A8" s="2">
        <f t="shared" si="0"/>
        <v>7</v>
      </c>
      <c r="B8" s="3" t="s">
        <v>129</v>
      </c>
      <c r="C8" s="2">
        <v>375000</v>
      </c>
      <c r="D8" s="2"/>
      <c r="E8" s="2" t="s">
        <v>34</v>
      </c>
      <c r="F8" s="11">
        <f>(C8/Cap!$B$1)*100</f>
        <v>5.3571428571428568</v>
      </c>
      <c r="G8" s="6"/>
      <c r="H8" s="6"/>
      <c r="I8" s="6"/>
    </row>
    <row r="9" spans="1:9" x14ac:dyDescent="0.25">
      <c r="A9" s="2">
        <f t="shared" si="0"/>
        <v>8</v>
      </c>
      <c r="B9" s="3" t="s">
        <v>130</v>
      </c>
      <c r="C9" s="2">
        <v>293510</v>
      </c>
      <c r="D9" s="2"/>
      <c r="E9" s="2" t="s">
        <v>30</v>
      </c>
      <c r="F9" s="11">
        <f>(C9/Cap!$B$1)*100</f>
        <v>4.1930000000000005</v>
      </c>
      <c r="G9" s="6"/>
      <c r="H9" s="6"/>
      <c r="I9" s="6"/>
    </row>
    <row r="10" spans="1:9" x14ac:dyDescent="0.25">
      <c r="A10" s="2">
        <f t="shared" si="0"/>
        <v>9</v>
      </c>
      <c r="B10" s="3" t="s">
        <v>131</v>
      </c>
      <c r="C10" s="2">
        <v>270000</v>
      </c>
      <c r="D10" s="2"/>
      <c r="E10" s="2" t="s">
        <v>31</v>
      </c>
      <c r="F10" s="11">
        <f>(C10/Cap!$B$1)*100</f>
        <v>3.8571428571428568</v>
      </c>
      <c r="G10" s="6"/>
      <c r="H10" s="6"/>
      <c r="I10" s="6"/>
    </row>
    <row r="11" spans="1:9" x14ac:dyDescent="0.25">
      <c r="A11" s="2">
        <f t="shared" si="0"/>
        <v>10</v>
      </c>
      <c r="B11" s="3" t="s">
        <v>132</v>
      </c>
      <c r="C11" s="2">
        <v>270000</v>
      </c>
      <c r="D11" s="2"/>
      <c r="E11" s="2" t="s">
        <v>31</v>
      </c>
      <c r="F11" s="11">
        <f>(C11/Cap!$B$1)*100</f>
        <v>3.8571428571428568</v>
      </c>
      <c r="G11" s="6"/>
      <c r="H11" s="6"/>
      <c r="I11" s="6"/>
    </row>
    <row r="12" spans="1:9" x14ac:dyDescent="0.25">
      <c r="A12" s="2">
        <f t="shared" si="0"/>
        <v>11</v>
      </c>
      <c r="B12" s="3" t="s">
        <v>133</v>
      </c>
      <c r="C12" s="2">
        <v>270000</v>
      </c>
      <c r="D12" s="2"/>
      <c r="E12" s="2" t="s">
        <v>31</v>
      </c>
      <c r="F12" s="11">
        <f>(C12/Cap!$B$1)*100</f>
        <v>3.8571428571428568</v>
      </c>
      <c r="G12" s="6"/>
      <c r="H12" s="6"/>
      <c r="I12" s="6"/>
    </row>
    <row r="13" spans="1:9" x14ac:dyDescent="0.25">
      <c r="A13" s="2">
        <f t="shared" si="0"/>
        <v>12</v>
      </c>
      <c r="B13" s="3" t="s">
        <v>134</v>
      </c>
      <c r="C13" s="2" t="s">
        <v>10</v>
      </c>
      <c r="D13" s="2"/>
      <c r="E13" s="2"/>
      <c r="F13" s="11" t="e">
        <f>(C13/Cap!$B$1)*100</f>
        <v>#VALUE!</v>
      </c>
      <c r="G13" s="6"/>
      <c r="H13" s="6"/>
      <c r="I13" s="6"/>
    </row>
    <row r="14" spans="1:9" x14ac:dyDescent="0.25">
      <c r="A14" s="2">
        <f t="shared" si="0"/>
        <v>13</v>
      </c>
      <c r="B14" s="3" t="s">
        <v>135</v>
      </c>
      <c r="C14" s="2" t="s">
        <v>10</v>
      </c>
      <c r="D14" s="2"/>
      <c r="E14" s="2"/>
      <c r="F14" s="11" t="e">
        <f>(C14/Cap!$B$1)*100</f>
        <v>#VALUE!</v>
      </c>
      <c r="G14" s="6"/>
      <c r="H14" s="6"/>
      <c r="I14" s="6"/>
    </row>
    <row r="15" spans="1:9" x14ac:dyDescent="0.25">
      <c r="A15" s="2">
        <f t="shared" si="0"/>
        <v>14</v>
      </c>
      <c r="B15" s="3" t="s">
        <v>136</v>
      </c>
      <c r="C15" s="2" t="s">
        <v>10</v>
      </c>
      <c r="D15" s="2"/>
      <c r="E15" s="2"/>
      <c r="F15" s="11" t="e">
        <f>(C15/Cap!$B$1)*100</f>
        <v>#VALUE!</v>
      </c>
      <c r="G15" s="6"/>
      <c r="H15" s="6"/>
      <c r="I15" s="6"/>
    </row>
    <row r="16" spans="1:9" x14ac:dyDescent="0.25">
      <c r="A16" s="2">
        <f t="shared" si="0"/>
        <v>15</v>
      </c>
      <c r="B16" s="3" t="s">
        <v>137</v>
      </c>
      <c r="C16" s="2" t="s">
        <v>17</v>
      </c>
      <c r="D16" s="2"/>
      <c r="E16" s="3"/>
      <c r="F16" s="11" t="e">
        <f>(C16/Cap!$B$1)*100</f>
        <v>#VALUE!</v>
      </c>
      <c r="G16" s="6"/>
      <c r="H16" s="6"/>
      <c r="I16" s="6"/>
    </row>
    <row r="17" spans="1:9" x14ac:dyDescent="0.25">
      <c r="A17" s="2">
        <f t="shared" si="0"/>
        <v>16</v>
      </c>
      <c r="B17" s="3" t="s">
        <v>138</v>
      </c>
      <c r="C17" s="2" t="s">
        <v>17</v>
      </c>
      <c r="D17" s="2"/>
      <c r="E17" s="3"/>
      <c r="F17" s="11" t="e">
        <f>(C17/Cap!$B$1)*100</f>
        <v>#VALUE!</v>
      </c>
      <c r="G17" s="6"/>
      <c r="H17" s="6"/>
      <c r="I17" s="6"/>
    </row>
    <row r="18" spans="1:9" x14ac:dyDescent="0.25">
      <c r="A18" s="2">
        <f t="shared" si="0"/>
        <v>17</v>
      </c>
      <c r="B18" s="3" t="s">
        <v>139</v>
      </c>
      <c r="C18" s="2" t="s">
        <v>17</v>
      </c>
      <c r="D18" s="2"/>
      <c r="E18" s="3"/>
      <c r="F18" s="11" t="e">
        <f>(C18/Cap!$B$1)*100</f>
        <v>#VALUE!</v>
      </c>
      <c r="G18" s="6"/>
      <c r="H18" s="6"/>
      <c r="I18" s="6"/>
    </row>
    <row r="19" spans="1:9" x14ac:dyDescent="0.25">
      <c r="A19" s="2">
        <f t="shared" si="0"/>
        <v>18</v>
      </c>
      <c r="B19" s="3" t="s">
        <v>302</v>
      </c>
      <c r="C19" s="2" t="s">
        <v>17</v>
      </c>
      <c r="D19" s="2"/>
      <c r="E19" s="3"/>
      <c r="F19" s="11" t="e">
        <f>(C19/Cap!$B$1)*100</f>
        <v>#VALUE!</v>
      </c>
      <c r="G19" s="6"/>
      <c r="H19" s="6"/>
      <c r="I19" s="6"/>
    </row>
    <row r="20" spans="1:9" x14ac:dyDescent="0.25">
      <c r="A20" s="2">
        <f t="shared" si="0"/>
        <v>19</v>
      </c>
      <c r="B20" s="3"/>
      <c r="C20" s="2"/>
      <c r="D20" s="2"/>
      <c r="E20" s="3"/>
      <c r="F20" s="11">
        <f>(C20/Cap!$B$1)*100</f>
        <v>0</v>
      </c>
      <c r="G20" s="6"/>
      <c r="H20" s="6"/>
      <c r="I20" s="6"/>
    </row>
    <row r="21" spans="1:9" x14ac:dyDescent="0.25">
      <c r="A21" s="2">
        <f t="shared" si="0"/>
        <v>20</v>
      </c>
      <c r="B21" s="3"/>
      <c r="C21" s="2"/>
      <c r="D21" s="2"/>
      <c r="E21" s="3"/>
      <c r="F21" s="11">
        <f>(C21/Cap!$B$1)*100</f>
        <v>0</v>
      </c>
      <c r="G21" s="6"/>
      <c r="H21" s="6"/>
      <c r="I21" s="6"/>
    </row>
    <row r="22" spans="1:9" x14ac:dyDescent="0.25">
      <c r="A22" s="2">
        <f t="shared" si="0"/>
        <v>21</v>
      </c>
      <c r="B22" s="3"/>
      <c r="C22" s="3"/>
      <c r="D22" s="3"/>
      <c r="E22" s="3"/>
      <c r="F22" s="11">
        <f>(C22/Cap!$B$1)*100</f>
        <v>0</v>
      </c>
      <c r="G22" s="6"/>
      <c r="H22" s="6"/>
      <c r="I22" s="6"/>
    </row>
    <row r="23" spans="1:9" x14ac:dyDescent="0.25">
      <c r="A23" s="2">
        <f t="shared" si="0"/>
        <v>22</v>
      </c>
      <c r="B23" s="3"/>
      <c r="C23" s="3"/>
      <c r="D23" s="3"/>
      <c r="E23" s="3"/>
      <c r="F23" s="11">
        <f>(C23/Cap!$B$1)*100</f>
        <v>0</v>
      </c>
      <c r="G23" s="6"/>
      <c r="H23" s="6"/>
      <c r="I23" s="6"/>
    </row>
    <row r="24" spans="1:9" x14ac:dyDescent="0.25">
      <c r="A24" s="2">
        <f>A23+1</f>
        <v>23</v>
      </c>
      <c r="B24" s="3"/>
      <c r="C24" s="3"/>
      <c r="D24" s="3"/>
      <c r="E24" s="3"/>
      <c r="F24" s="11">
        <f>(C24/Cap!$B$1)*100</f>
        <v>0</v>
      </c>
      <c r="G24" s="6"/>
      <c r="H24" s="6"/>
      <c r="I24" s="6"/>
    </row>
    <row r="25" spans="1:9" x14ac:dyDescent="0.25">
      <c r="A25" s="2">
        <f t="shared" si="0"/>
        <v>24</v>
      </c>
      <c r="B25" s="3"/>
      <c r="C25" s="3"/>
      <c r="D25" s="3"/>
      <c r="E25" s="3"/>
      <c r="F25" s="11">
        <f>(C25/Cap!$B$1)*100</f>
        <v>0</v>
      </c>
      <c r="G25" s="6"/>
      <c r="H25" s="6"/>
      <c r="I25" s="6"/>
    </row>
    <row r="26" spans="1:9" x14ac:dyDescent="0.25">
      <c r="A26" s="2">
        <f t="shared" si="0"/>
        <v>25</v>
      </c>
      <c r="B26" s="3"/>
      <c r="C26" s="3"/>
      <c r="D26" s="3"/>
      <c r="E26" s="3"/>
      <c r="F26" s="11">
        <f>(C26/Cap!$B$1)*100</f>
        <v>0</v>
      </c>
      <c r="G26" s="6"/>
      <c r="H26" s="6"/>
      <c r="I26" s="6"/>
    </row>
    <row r="27" spans="1:9" x14ac:dyDescent="0.25">
      <c r="A27" s="6"/>
      <c r="B27" s="9" t="s">
        <v>21</v>
      </c>
      <c r="C27" s="7" t="s">
        <v>78</v>
      </c>
      <c r="D27" s="6"/>
      <c r="E27" s="6"/>
      <c r="F27" s="6"/>
      <c r="G27" s="6"/>
      <c r="H27" s="6"/>
      <c r="I27" s="6"/>
    </row>
    <row r="28" spans="1:9" x14ac:dyDescent="0.25">
      <c r="A28" s="6"/>
      <c r="B28" s="9" t="s">
        <v>32</v>
      </c>
      <c r="C28" s="7"/>
      <c r="D28" s="6"/>
      <c r="E28" s="6"/>
      <c r="F28" s="6"/>
      <c r="G28" s="6"/>
      <c r="H28" s="6"/>
      <c r="I28" s="6"/>
    </row>
    <row r="29" spans="1:9" x14ac:dyDescent="0.25">
      <c r="A29" s="6"/>
      <c r="B29" s="6" t="s">
        <v>141</v>
      </c>
      <c r="C29" s="7">
        <v>270000</v>
      </c>
      <c r="D29" s="6"/>
      <c r="E29" s="6"/>
      <c r="F29" s="6"/>
      <c r="G29" s="6"/>
      <c r="H29" s="6"/>
      <c r="I29" s="6"/>
    </row>
    <row r="30" spans="1:9" x14ac:dyDescent="0.25">
      <c r="A30" s="6"/>
      <c r="B30" s="6" t="s">
        <v>142</v>
      </c>
      <c r="C30" s="7">
        <v>270000</v>
      </c>
      <c r="D30" s="6"/>
      <c r="E30" s="6"/>
      <c r="F30" s="6"/>
      <c r="G30" s="6"/>
      <c r="H30" s="6"/>
      <c r="I30" s="6"/>
    </row>
    <row r="31" spans="1:9" x14ac:dyDescent="0.25">
      <c r="A31" s="6"/>
      <c r="B31" s="6" t="s">
        <v>143</v>
      </c>
      <c r="C31" s="7">
        <v>270000</v>
      </c>
      <c r="D31" s="6"/>
      <c r="E31" s="6"/>
      <c r="F31" s="6"/>
      <c r="G31" s="6"/>
      <c r="H31" s="6"/>
      <c r="I31" s="6"/>
    </row>
    <row r="32" spans="1:9" x14ac:dyDescent="0.25">
      <c r="A32" s="6"/>
      <c r="B32" s="6"/>
      <c r="C32" s="7"/>
      <c r="D32" s="6"/>
      <c r="E32" s="6"/>
      <c r="F32" s="6"/>
      <c r="G32" s="6"/>
      <c r="H32" s="6"/>
      <c r="I32" s="6"/>
    </row>
    <row r="33" spans="1:9" x14ac:dyDescent="0.25">
      <c r="A33" s="6"/>
      <c r="B33" s="6"/>
      <c r="C33" s="7"/>
      <c r="D33" s="6"/>
      <c r="E33" s="6"/>
      <c r="F33" s="6"/>
      <c r="G33" s="6"/>
      <c r="H33" s="6"/>
      <c r="I33" s="6"/>
    </row>
    <row r="34" spans="1:9" x14ac:dyDescent="0.25">
      <c r="A34" s="6"/>
      <c r="B34" s="6"/>
      <c r="C34" s="7"/>
      <c r="D34" s="6"/>
      <c r="E34" s="6"/>
      <c r="F34" s="6"/>
      <c r="G34" s="6"/>
      <c r="H34" s="6"/>
      <c r="I34" s="6"/>
    </row>
    <row r="35" spans="1:9" x14ac:dyDescent="0.25">
      <c r="A35" s="6"/>
      <c r="B35" s="6"/>
      <c r="C35" s="6"/>
      <c r="D35" s="6"/>
      <c r="E35" s="6"/>
      <c r="F35" s="6"/>
      <c r="G35" s="6"/>
      <c r="I35" s="6"/>
    </row>
  </sheetData>
  <conditionalFormatting sqref="H4">
    <cfRule type="colorScale" priority="1">
      <colorScale>
        <cfvo type="min"/>
        <cfvo type="max"/>
        <color rgb="FF63BE7B"/>
        <color rgb="FFFCFCFF"/>
      </colorScale>
    </cfRule>
  </conditionalFormatting>
  <pageMargins left="0.7" right="0.7" top="0.75" bottom="0.75" header="0.3" footer="0.3"/>
  <ignoredErrors>
    <ignoredError sqref="F13:F19" evalError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B005A-9901-47C9-B53E-AA837147589F}">
  <sheetPr>
    <tabColor rgb="FFFFFF00"/>
  </sheetPr>
  <dimension ref="A1:I35"/>
  <sheetViews>
    <sheetView workbookViewId="0"/>
  </sheetViews>
  <sheetFormatPr baseColWidth="10" defaultColWidth="0" defaultRowHeight="15" customHeight="1" zeroHeight="1" x14ac:dyDescent="0.25"/>
  <cols>
    <col min="1" max="1" width="4.7109375" customWidth="1"/>
    <col min="2" max="2" width="30.7109375" customWidth="1"/>
    <col min="3" max="4" width="20.7109375" customWidth="1"/>
    <col min="5" max="6" width="15.7109375" customWidth="1"/>
    <col min="7" max="7" width="22.28515625" bestFit="1" customWidth="1"/>
    <col min="8" max="8" width="11.42578125" customWidth="1"/>
    <col min="9" max="9" width="0" hidden="1" customWidth="1"/>
    <col min="10" max="16384" width="11.42578125" hidden="1"/>
  </cols>
  <sheetData>
    <row r="1" spans="1:9" x14ac:dyDescent="0.25">
      <c r="A1" s="4" t="s">
        <v>28</v>
      </c>
      <c r="B1" s="5" t="s">
        <v>0</v>
      </c>
      <c r="C1" s="4">
        <v>2026</v>
      </c>
      <c r="D1" s="4" t="s">
        <v>1</v>
      </c>
      <c r="E1" s="4" t="s">
        <v>29</v>
      </c>
      <c r="F1" s="4" t="s">
        <v>304</v>
      </c>
      <c r="G1" s="6" t="s">
        <v>27</v>
      </c>
      <c r="H1" s="7">
        <f>Cap!B1-Fever!H2</f>
        <v>4219042</v>
      </c>
      <c r="I1" s="6"/>
    </row>
    <row r="2" spans="1:9" x14ac:dyDescent="0.25">
      <c r="A2" s="2">
        <v>1</v>
      </c>
      <c r="B2" s="3" t="s">
        <v>144</v>
      </c>
      <c r="C2" s="2">
        <v>574612</v>
      </c>
      <c r="D2" s="2"/>
      <c r="E2" s="2" t="s">
        <v>301</v>
      </c>
      <c r="F2" s="11">
        <f>(C2/Cap!$B$1)*100</f>
        <v>8.2087428571428571</v>
      </c>
      <c r="G2" s="6" t="s">
        <v>37</v>
      </c>
      <c r="H2" s="7" cm="1">
        <f t="array" ref="H2">SUM(SUMIFS(C2:C26, E2:E26, {"U";"V";"Rookie Scale"}))</f>
        <v>2780958</v>
      </c>
      <c r="I2" s="6"/>
    </row>
    <row r="3" spans="1:9" x14ac:dyDescent="0.25">
      <c r="A3" s="2">
        <f>A2+1</f>
        <v>2</v>
      </c>
      <c r="B3" s="3" t="s">
        <v>145</v>
      </c>
      <c r="C3" s="2">
        <v>528846</v>
      </c>
      <c r="D3" s="2"/>
      <c r="E3" s="2" t="s">
        <v>30</v>
      </c>
      <c r="F3" s="11">
        <f>(C3/Cap!$B$1)*100</f>
        <v>7.5549428571428576</v>
      </c>
      <c r="G3" s="6" t="s">
        <v>33</v>
      </c>
      <c r="H3" s="7" cm="1">
        <f t="array" ref="H3">SUM(SUMIFS(C2:C26, E2:E26, {"V";"Rookie Scale"}))</f>
        <v>1974612</v>
      </c>
      <c r="I3" s="6"/>
    </row>
    <row r="4" spans="1:9" x14ac:dyDescent="0.25">
      <c r="A4" s="2">
        <f t="shared" ref="A4:A26" si="0">A3+1</f>
        <v>3</v>
      </c>
      <c r="B4" s="3" t="s">
        <v>146</v>
      </c>
      <c r="C4" s="2">
        <v>277500</v>
      </c>
      <c r="D4" s="2"/>
      <c r="E4" s="2" t="s">
        <v>30</v>
      </c>
      <c r="F4" s="11">
        <f>(C4/Cap!$B$1)*100</f>
        <v>3.964285714285714</v>
      </c>
      <c r="G4" s="8" t="s">
        <v>35</v>
      </c>
      <c r="H4" s="7" cm="1">
        <f t="array" ref="H4">SUM(COUNTIF(E2:E26,{"U";"V";"Rookie Scale"}))</f>
        <v>4</v>
      </c>
      <c r="I4" s="6"/>
    </row>
    <row r="5" spans="1:9" x14ac:dyDescent="0.25">
      <c r="A5" s="2">
        <f t="shared" si="0"/>
        <v>4</v>
      </c>
      <c r="B5" s="3" t="s">
        <v>147</v>
      </c>
      <c r="C5" s="2">
        <v>1400000</v>
      </c>
      <c r="D5" s="2">
        <v>2025</v>
      </c>
      <c r="E5" s="2" t="s">
        <v>34</v>
      </c>
      <c r="F5" s="11">
        <f>(C5/Cap!$B$1)*100</f>
        <v>20</v>
      </c>
      <c r="G5" s="8" t="s">
        <v>36</v>
      </c>
      <c r="H5" s="7" cm="1">
        <f t="array" ref="H5">SUM(COUNTIF(E2:E26,{"V";"Rookie Scale"}))</f>
        <v>2</v>
      </c>
      <c r="I5" s="6"/>
    </row>
    <row r="6" spans="1:9" x14ac:dyDescent="0.25">
      <c r="A6" s="2">
        <f t="shared" si="0"/>
        <v>5</v>
      </c>
      <c r="B6" s="3" t="s">
        <v>148</v>
      </c>
      <c r="C6" s="2" t="s">
        <v>10</v>
      </c>
      <c r="D6" s="2"/>
      <c r="E6" s="2"/>
      <c r="F6" s="11" t="e">
        <f>(C6/Cap!$B$1)*100</f>
        <v>#VALUE!</v>
      </c>
      <c r="G6" s="8" t="s">
        <v>60</v>
      </c>
      <c r="H6" s="10">
        <f>H1/(Cap!B3-Fever!H4)</f>
        <v>527380.25</v>
      </c>
      <c r="I6" s="6"/>
    </row>
    <row r="7" spans="1:9" x14ac:dyDescent="0.25">
      <c r="A7" s="2">
        <f t="shared" si="0"/>
        <v>6</v>
      </c>
      <c r="B7" s="3" t="s">
        <v>149</v>
      </c>
      <c r="C7" s="2" t="s">
        <v>10</v>
      </c>
      <c r="D7" s="2"/>
      <c r="E7" s="2"/>
      <c r="F7" s="11" t="e">
        <f>(C7/Cap!$B$1)*100</f>
        <v>#VALUE!</v>
      </c>
      <c r="G7" s="8" t="s">
        <v>304</v>
      </c>
      <c r="H7" s="12">
        <f>(H2/Cap!$B$1)*100</f>
        <v>39.727971428571429</v>
      </c>
      <c r="I7" s="6"/>
    </row>
    <row r="8" spans="1:9" x14ac:dyDescent="0.25">
      <c r="A8" s="2">
        <f t="shared" si="0"/>
        <v>7</v>
      </c>
      <c r="B8" s="3" t="s">
        <v>150</v>
      </c>
      <c r="C8" s="2" t="s">
        <v>10</v>
      </c>
      <c r="D8" s="2"/>
      <c r="E8" s="2"/>
      <c r="F8" s="11" t="e">
        <f>(C8/Cap!$B$1)*100</f>
        <v>#VALUE!</v>
      </c>
      <c r="G8" s="6"/>
      <c r="H8" s="6"/>
      <c r="I8" s="6"/>
    </row>
    <row r="9" spans="1:9" x14ac:dyDescent="0.25">
      <c r="A9" s="2">
        <f t="shared" si="0"/>
        <v>8</v>
      </c>
      <c r="B9" s="3" t="s">
        <v>151</v>
      </c>
      <c r="C9" s="2" t="s">
        <v>10</v>
      </c>
      <c r="D9" s="2"/>
      <c r="E9" s="2"/>
      <c r="F9" s="11" t="e">
        <f>(C9/Cap!$B$1)*100</f>
        <v>#VALUE!</v>
      </c>
      <c r="G9" s="6"/>
      <c r="H9" s="6"/>
      <c r="I9" s="6"/>
    </row>
    <row r="10" spans="1:9" x14ac:dyDescent="0.25">
      <c r="A10" s="2">
        <f t="shared" si="0"/>
        <v>9</v>
      </c>
      <c r="B10" s="3" t="s">
        <v>152</v>
      </c>
      <c r="C10" s="2" t="s">
        <v>96</v>
      </c>
      <c r="D10" s="2"/>
      <c r="E10" s="2"/>
      <c r="F10" s="11" t="e">
        <f>(C10/Cap!$B$1)*100</f>
        <v>#VALUE!</v>
      </c>
      <c r="G10" s="6"/>
      <c r="H10" s="6"/>
      <c r="I10" s="6"/>
    </row>
    <row r="11" spans="1:9" x14ac:dyDescent="0.25">
      <c r="A11" s="2">
        <f t="shared" si="0"/>
        <v>10</v>
      </c>
      <c r="B11" s="3" t="s">
        <v>306</v>
      </c>
      <c r="C11" s="2">
        <v>270000</v>
      </c>
      <c r="D11" s="2"/>
      <c r="E11" s="2" t="s">
        <v>31</v>
      </c>
      <c r="F11" s="11">
        <f>(C11/Cap!$B$1)*100</f>
        <v>3.8571428571428568</v>
      </c>
      <c r="G11" s="6"/>
      <c r="H11" s="6"/>
      <c r="I11" s="6"/>
    </row>
    <row r="12" spans="1:9" x14ac:dyDescent="0.25">
      <c r="A12" s="2">
        <f t="shared" si="0"/>
        <v>11</v>
      </c>
      <c r="B12" s="3"/>
      <c r="C12" s="2"/>
      <c r="D12" s="2"/>
      <c r="E12" s="2"/>
      <c r="F12" s="11">
        <f>(C12/Cap!$B$1)*100</f>
        <v>0</v>
      </c>
      <c r="G12" s="6"/>
      <c r="H12" s="6"/>
      <c r="I12" s="6"/>
    </row>
    <row r="13" spans="1:9" x14ac:dyDescent="0.25">
      <c r="A13" s="2">
        <f t="shared" si="0"/>
        <v>12</v>
      </c>
      <c r="B13" s="3"/>
      <c r="C13" s="2"/>
      <c r="D13" s="2"/>
      <c r="E13" s="2"/>
      <c r="F13" s="11">
        <f>(C13/Cap!$B$1)*100</f>
        <v>0</v>
      </c>
      <c r="G13" s="6"/>
      <c r="H13" s="6"/>
      <c r="I13" s="6"/>
    </row>
    <row r="14" spans="1:9" x14ac:dyDescent="0.25">
      <c r="A14" s="2">
        <f t="shared" si="0"/>
        <v>13</v>
      </c>
      <c r="B14" s="3"/>
      <c r="C14" s="2"/>
      <c r="D14" s="2"/>
      <c r="E14" s="2"/>
      <c r="F14" s="11">
        <f>(C14/Cap!$B$1)*100</f>
        <v>0</v>
      </c>
      <c r="G14" s="6"/>
      <c r="H14" s="6"/>
      <c r="I14" s="6"/>
    </row>
    <row r="15" spans="1:9" x14ac:dyDescent="0.25">
      <c r="A15" s="2">
        <f t="shared" si="0"/>
        <v>14</v>
      </c>
      <c r="B15" s="3"/>
      <c r="C15" s="2"/>
      <c r="D15" s="2"/>
      <c r="E15" s="2"/>
      <c r="F15" s="11">
        <f>(C15/Cap!$B$1)*100</f>
        <v>0</v>
      </c>
      <c r="G15" s="6"/>
      <c r="H15" s="6"/>
      <c r="I15" s="6"/>
    </row>
    <row r="16" spans="1:9" x14ac:dyDescent="0.25">
      <c r="A16" s="2">
        <f t="shared" si="0"/>
        <v>15</v>
      </c>
      <c r="B16" s="3"/>
      <c r="C16" s="2"/>
      <c r="D16" s="2"/>
      <c r="E16" s="3"/>
      <c r="F16" s="11">
        <f>(C16/Cap!$B$1)*100</f>
        <v>0</v>
      </c>
      <c r="G16" s="6"/>
      <c r="H16" s="6"/>
      <c r="I16" s="6"/>
    </row>
    <row r="17" spans="1:9" x14ac:dyDescent="0.25">
      <c r="A17" s="2">
        <f t="shared" si="0"/>
        <v>16</v>
      </c>
      <c r="B17" s="3"/>
      <c r="C17" s="2"/>
      <c r="D17" s="2"/>
      <c r="E17" s="3"/>
      <c r="F17" s="11">
        <f>(C17/Cap!$B$1)*100</f>
        <v>0</v>
      </c>
      <c r="G17" s="6"/>
      <c r="H17" s="6"/>
      <c r="I17" s="6"/>
    </row>
    <row r="18" spans="1:9" x14ac:dyDescent="0.25">
      <c r="A18" s="2">
        <f t="shared" si="0"/>
        <v>17</v>
      </c>
      <c r="B18" s="3"/>
      <c r="C18" s="2"/>
      <c r="D18" s="2"/>
      <c r="E18" s="3"/>
      <c r="F18" s="11">
        <f>(C18/Cap!$B$1)*100</f>
        <v>0</v>
      </c>
      <c r="G18" s="6"/>
      <c r="H18" s="6"/>
      <c r="I18" s="6"/>
    </row>
    <row r="19" spans="1:9" x14ac:dyDescent="0.25">
      <c r="A19" s="2">
        <f t="shared" si="0"/>
        <v>18</v>
      </c>
      <c r="B19" s="3"/>
      <c r="C19" s="2"/>
      <c r="D19" s="2"/>
      <c r="E19" s="3"/>
      <c r="F19" s="11">
        <f>(C19/Cap!$B$1)*100</f>
        <v>0</v>
      </c>
      <c r="G19" s="6"/>
      <c r="H19" s="6"/>
      <c r="I19" s="6"/>
    </row>
    <row r="20" spans="1:9" x14ac:dyDescent="0.25">
      <c r="A20" s="2">
        <f t="shared" si="0"/>
        <v>19</v>
      </c>
      <c r="B20" s="3"/>
      <c r="C20" s="2"/>
      <c r="D20" s="2"/>
      <c r="E20" s="3"/>
      <c r="F20" s="11">
        <f>(C20/Cap!$B$1)*100</f>
        <v>0</v>
      </c>
      <c r="G20" s="6"/>
      <c r="H20" s="6"/>
      <c r="I20" s="6"/>
    </row>
    <row r="21" spans="1:9" x14ac:dyDescent="0.25">
      <c r="A21" s="2">
        <f t="shared" si="0"/>
        <v>20</v>
      </c>
      <c r="B21" s="3"/>
      <c r="C21" s="2"/>
      <c r="D21" s="2"/>
      <c r="E21" s="3"/>
      <c r="F21" s="11">
        <f>(C21/Cap!$B$1)*100</f>
        <v>0</v>
      </c>
      <c r="G21" s="6"/>
      <c r="H21" s="6"/>
      <c r="I21" s="6"/>
    </row>
    <row r="22" spans="1:9" x14ac:dyDescent="0.25">
      <c r="A22" s="2">
        <f t="shared" si="0"/>
        <v>21</v>
      </c>
      <c r="B22" s="3"/>
      <c r="C22" s="3"/>
      <c r="D22" s="3"/>
      <c r="E22" s="3"/>
      <c r="F22" s="11">
        <f>(C22/Cap!$B$1)*100</f>
        <v>0</v>
      </c>
      <c r="G22" s="6"/>
      <c r="H22" s="6"/>
      <c r="I22" s="6"/>
    </row>
    <row r="23" spans="1:9" x14ac:dyDescent="0.25">
      <c r="A23" s="2">
        <f t="shared" si="0"/>
        <v>22</v>
      </c>
      <c r="B23" s="3"/>
      <c r="C23" s="3"/>
      <c r="D23" s="3"/>
      <c r="E23" s="3"/>
      <c r="F23" s="11">
        <f>(C23/Cap!$B$1)*100</f>
        <v>0</v>
      </c>
      <c r="G23" s="6"/>
      <c r="H23" s="6"/>
      <c r="I23" s="6"/>
    </row>
    <row r="24" spans="1:9" x14ac:dyDescent="0.25">
      <c r="A24" s="2">
        <f>A23+1</f>
        <v>23</v>
      </c>
      <c r="B24" s="3"/>
      <c r="C24" s="3"/>
      <c r="D24" s="3"/>
      <c r="E24" s="3"/>
      <c r="F24" s="11">
        <f>(C24/Cap!$B$1)*100</f>
        <v>0</v>
      </c>
      <c r="G24" s="6"/>
      <c r="H24" s="6"/>
      <c r="I24" s="6"/>
    </row>
    <row r="25" spans="1:9" x14ac:dyDescent="0.25">
      <c r="A25" s="2">
        <f t="shared" si="0"/>
        <v>24</v>
      </c>
      <c r="B25" s="3"/>
      <c r="C25" s="3"/>
      <c r="D25" s="3"/>
      <c r="E25" s="3"/>
      <c r="F25" s="11">
        <f>(C25/Cap!$B$1)*100</f>
        <v>0</v>
      </c>
      <c r="G25" s="6"/>
      <c r="H25" s="6"/>
      <c r="I25" s="6"/>
    </row>
    <row r="26" spans="1:9" x14ac:dyDescent="0.25">
      <c r="A26" s="2">
        <f t="shared" si="0"/>
        <v>25</v>
      </c>
      <c r="B26" s="3"/>
      <c r="C26" s="3"/>
      <c r="D26" s="3"/>
      <c r="E26" s="3"/>
      <c r="F26" s="11">
        <f>(C26/Cap!$B$1)*100</f>
        <v>0</v>
      </c>
      <c r="G26" s="6"/>
      <c r="H26" s="6"/>
      <c r="I26" s="6"/>
    </row>
    <row r="27" spans="1:9" x14ac:dyDescent="0.25">
      <c r="A27" s="6"/>
      <c r="B27" s="9" t="s">
        <v>21</v>
      </c>
      <c r="C27" s="7" t="s">
        <v>156</v>
      </c>
      <c r="D27" s="6"/>
      <c r="E27" s="6"/>
      <c r="F27" s="6"/>
      <c r="G27" s="6"/>
      <c r="H27" s="6"/>
      <c r="I27" s="6"/>
    </row>
    <row r="28" spans="1:9" x14ac:dyDescent="0.25">
      <c r="A28" s="6"/>
      <c r="B28" s="9" t="s">
        <v>32</v>
      </c>
      <c r="C28" s="7"/>
      <c r="D28" s="6"/>
      <c r="E28" s="6"/>
      <c r="F28" s="6"/>
      <c r="G28" s="6"/>
      <c r="H28" s="6"/>
      <c r="I28" s="6"/>
    </row>
    <row r="29" spans="1:9" x14ac:dyDescent="0.25">
      <c r="A29" s="6"/>
      <c r="B29" s="6" t="s">
        <v>153</v>
      </c>
      <c r="C29" s="7">
        <v>289133</v>
      </c>
      <c r="D29" s="6"/>
      <c r="E29" s="6"/>
      <c r="F29" s="6"/>
      <c r="G29" s="6"/>
      <c r="H29" s="6"/>
      <c r="I29" s="6"/>
    </row>
    <row r="30" spans="1:9" x14ac:dyDescent="0.25">
      <c r="A30" s="6"/>
      <c r="B30" s="6" t="s">
        <v>154</v>
      </c>
      <c r="C30" s="7">
        <v>270000</v>
      </c>
      <c r="D30" s="6"/>
      <c r="E30" s="6"/>
      <c r="F30" s="6"/>
      <c r="G30" s="6"/>
      <c r="H30" s="6"/>
      <c r="I30" s="6"/>
    </row>
    <row r="31" spans="1:9" x14ac:dyDescent="0.25">
      <c r="A31" s="6"/>
      <c r="B31" s="6" t="s">
        <v>155</v>
      </c>
      <c r="C31" s="7">
        <v>270000</v>
      </c>
      <c r="D31" s="6"/>
      <c r="E31" s="6"/>
      <c r="F31" s="6"/>
      <c r="G31" s="6"/>
      <c r="H31" s="6"/>
      <c r="I31" s="6"/>
    </row>
    <row r="32" spans="1:9" x14ac:dyDescent="0.25">
      <c r="A32" s="6"/>
      <c r="B32" s="6"/>
      <c r="C32" s="7"/>
      <c r="D32" s="6"/>
      <c r="E32" s="6"/>
      <c r="F32" s="6"/>
      <c r="G32" s="6"/>
      <c r="H32" s="6"/>
      <c r="I32" s="6"/>
    </row>
    <row r="33" spans="1:9" x14ac:dyDescent="0.25">
      <c r="A33" s="6"/>
      <c r="B33" s="6"/>
      <c r="C33" s="7"/>
      <c r="D33" s="6"/>
      <c r="E33" s="6"/>
      <c r="F33" s="6"/>
      <c r="G33" s="6"/>
      <c r="H33" s="6"/>
      <c r="I33" s="6"/>
    </row>
    <row r="34" spans="1:9" x14ac:dyDescent="0.25">
      <c r="A34" s="6"/>
      <c r="B34" s="6"/>
      <c r="C34" s="7"/>
      <c r="D34" s="6"/>
      <c r="E34" s="6"/>
      <c r="F34" s="6"/>
      <c r="G34" s="6"/>
      <c r="H34" s="6"/>
      <c r="I34" s="6"/>
    </row>
    <row r="35" spans="1:9" x14ac:dyDescent="0.25">
      <c r="A35" s="6"/>
      <c r="B35" s="6"/>
      <c r="C35" s="6"/>
      <c r="D35" s="6"/>
      <c r="E35" s="6"/>
      <c r="F35" s="6"/>
      <c r="G35" s="6"/>
      <c r="I35" s="6"/>
    </row>
  </sheetData>
  <conditionalFormatting sqref="H4">
    <cfRule type="colorScale" priority="1">
      <colorScale>
        <cfvo type="min"/>
        <cfvo type="max"/>
        <color rgb="FF63BE7B"/>
        <color rgb="FFFCFCFF"/>
      </colorScale>
    </cfRule>
  </conditionalFormatting>
  <pageMargins left="0.7" right="0.7" top="0.75" bottom="0.75" header="0.3" footer="0.3"/>
  <ignoredErrors>
    <ignoredError sqref="F6:F10" evalError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4955A-3D3A-42F5-B777-EA6F81E9B4E1}">
  <sheetPr>
    <tabColor theme="1"/>
  </sheetPr>
  <dimension ref="A1:I35"/>
  <sheetViews>
    <sheetView workbookViewId="0"/>
  </sheetViews>
  <sheetFormatPr baseColWidth="10" defaultColWidth="0" defaultRowHeight="15" customHeight="1" zeroHeight="1" x14ac:dyDescent="0.25"/>
  <cols>
    <col min="1" max="1" width="4.7109375" customWidth="1"/>
    <col min="2" max="2" width="30.7109375" customWidth="1"/>
    <col min="3" max="4" width="20.7109375" customWidth="1"/>
    <col min="5" max="6" width="15.7109375" customWidth="1"/>
    <col min="7" max="7" width="22.28515625" bestFit="1" customWidth="1"/>
    <col min="8" max="8" width="11.42578125" customWidth="1"/>
    <col min="9" max="9" width="0" hidden="1" customWidth="1"/>
    <col min="10" max="16384" width="11.42578125" hidden="1"/>
  </cols>
  <sheetData>
    <row r="1" spans="1:9" x14ac:dyDescent="0.25">
      <c r="A1" s="4" t="s">
        <v>28</v>
      </c>
      <c r="B1" s="5" t="s">
        <v>0</v>
      </c>
      <c r="C1" s="4">
        <v>2026</v>
      </c>
      <c r="D1" s="4" t="s">
        <v>1</v>
      </c>
      <c r="E1" s="4" t="s">
        <v>29</v>
      </c>
      <c r="F1" s="4" t="s">
        <v>304</v>
      </c>
      <c r="G1" s="6" t="s">
        <v>27</v>
      </c>
      <c r="H1" s="7">
        <f>Cap!B1-Vegas!H2</f>
        <v>1387500</v>
      </c>
      <c r="I1" s="6"/>
    </row>
    <row r="2" spans="1:9" x14ac:dyDescent="0.25">
      <c r="A2" s="2">
        <v>1</v>
      </c>
      <c r="B2" s="3" t="s">
        <v>157</v>
      </c>
      <c r="C2" s="2">
        <v>1190000</v>
      </c>
      <c r="D2" s="2"/>
      <c r="E2" s="2" t="s">
        <v>34</v>
      </c>
      <c r="F2" s="11">
        <f>(C2/Cap!$B$1)*100</f>
        <v>17</v>
      </c>
      <c r="G2" s="6" t="s">
        <v>37</v>
      </c>
      <c r="H2" s="7" cm="1">
        <f t="array" ref="H2">SUM(SUMIFS(C2:C26, E2:E26, {"U";"V";"Rookie Scale"}))</f>
        <v>5612500</v>
      </c>
      <c r="I2" s="6"/>
    </row>
    <row r="3" spans="1:9" x14ac:dyDescent="0.25">
      <c r="A3" s="2">
        <f>A2+1</f>
        <v>2</v>
      </c>
      <c r="B3" s="3" t="s">
        <v>158</v>
      </c>
      <c r="C3" s="2">
        <v>1000000</v>
      </c>
      <c r="D3" s="2"/>
      <c r="E3" s="2" t="s">
        <v>34</v>
      </c>
      <c r="F3" s="11">
        <f>(C3/Cap!$B$1)*100</f>
        <v>14.285714285714285</v>
      </c>
      <c r="G3" s="6" t="s">
        <v>33</v>
      </c>
      <c r="H3" s="7" cm="1">
        <f t="array" ref="H3">SUM(SUMIFS(C2:C26, E2:E26, {"V";"Rookie Scale"}))</f>
        <v>5612500</v>
      </c>
      <c r="I3" s="6"/>
    </row>
    <row r="4" spans="1:9" x14ac:dyDescent="0.25">
      <c r="A4" s="2">
        <f t="shared" ref="A4:A26" si="0">A3+1</f>
        <v>3</v>
      </c>
      <c r="B4" s="3" t="s">
        <v>159</v>
      </c>
      <c r="C4" s="2">
        <v>800000</v>
      </c>
      <c r="D4" s="2" t="s">
        <v>12</v>
      </c>
      <c r="E4" s="2" t="s">
        <v>34</v>
      </c>
      <c r="F4" s="11">
        <f>(C4/Cap!$B$1)*100</f>
        <v>11.428571428571429</v>
      </c>
      <c r="G4" s="8" t="s">
        <v>35</v>
      </c>
      <c r="H4" s="7" cm="1">
        <f t="array" ref="H4">SUM(COUNTIF(E2:E26,{"U";"V";"Rookie Scale"}))</f>
        <v>7</v>
      </c>
      <c r="I4" s="6"/>
    </row>
    <row r="5" spans="1:9" x14ac:dyDescent="0.25">
      <c r="A5" s="2">
        <f t="shared" si="0"/>
        <v>4</v>
      </c>
      <c r="B5" s="3" t="s">
        <v>160</v>
      </c>
      <c r="C5" s="2">
        <v>450000</v>
      </c>
      <c r="D5" s="2"/>
      <c r="E5" s="2" t="s">
        <v>34</v>
      </c>
      <c r="F5" s="11">
        <f>(C5/Cap!$B$1)*100</f>
        <v>6.4285714285714279</v>
      </c>
      <c r="G5" s="8" t="s">
        <v>36</v>
      </c>
      <c r="H5" s="7" cm="1">
        <f t="array" ref="H5">SUM(COUNTIF(E2:E26,{"V";"Rookie Scale"}))</f>
        <v>7</v>
      </c>
      <c r="I5" s="6"/>
    </row>
    <row r="6" spans="1:9" x14ac:dyDescent="0.25">
      <c r="A6" s="2">
        <f t="shared" si="0"/>
        <v>5</v>
      </c>
      <c r="B6" s="3" t="s">
        <v>161</v>
      </c>
      <c r="C6" s="2">
        <v>392500</v>
      </c>
      <c r="D6" s="2"/>
      <c r="E6" s="2" t="s">
        <v>34</v>
      </c>
      <c r="F6" s="11">
        <f>(C6/Cap!$B$1)*100</f>
        <v>5.6071428571428568</v>
      </c>
      <c r="G6" s="8" t="s">
        <v>60</v>
      </c>
      <c r="H6" s="10">
        <f>H1/(Cap!B3-Vegas!H4)</f>
        <v>277500</v>
      </c>
      <c r="I6" s="6"/>
    </row>
    <row r="7" spans="1:9" x14ac:dyDescent="0.25">
      <c r="A7" s="2">
        <f t="shared" si="0"/>
        <v>6</v>
      </c>
      <c r="B7" s="3" t="s">
        <v>162</v>
      </c>
      <c r="C7" s="2">
        <v>380000</v>
      </c>
      <c r="D7" s="2"/>
      <c r="E7" s="2" t="s">
        <v>34</v>
      </c>
      <c r="F7" s="11">
        <f>(C7/Cap!$B$1)*100</f>
        <v>5.4285714285714288</v>
      </c>
      <c r="G7" s="8" t="s">
        <v>304</v>
      </c>
      <c r="H7" s="12">
        <f>(H2/Cap!$B$1)*100</f>
        <v>80.178571428571431</v>
      </c>
      <c r="I7" s="6"/>
    </row>
    <row r="8" spans="1:9" x14ac:dyDescent="0.25">
      <c r="A8" s="2">
        <f t="shared" si="0"/>
        <v>7</v>
      </c>
      <c r="B8" s="3" t="s">
        <v>163</v>
      </c>
      <c r="C8" s="2">
        <v>277500</v>
      </c>
      <c r="D8" s="2"/>
      <c r="E8" s="2" t="s">
        <v>31</v>
      </c>
      <c r="F8" s="11">
        <f>(C8/Cap!$B$1)*100</f>
        <v>3.964285714285714</v>
      </c>
      <c r="G8" s="6"/>
      <c r="H8" s="6"/>
      <c r="I8" s="6"/>
    </row>
    <row r="9" spans="1:9" x14ac:dyDescent="0.25">
      <c r="A9" s="2">
        <f t="shared" si="0"/>
        <v>8</v>
      </c>
      <c r="B9" s="3" t="s">
        <v>164</v>
      </c>
      <c r="C9" s="2">
        <v>277500</v>
      </c>
      <c r="D9" s="2"/>
      <c r="E9" s="2" t="s">
        <v>31</v>
      </c>
      <c r="F9" s="11">
        <f>(C9/Cap!$B$1)*100</f>
        <v>3.964285714285714</v>
      </c>
      <c r="G9" s="6"/>
      <c r="H9" s="6"/>
      <c r="I9" s="6"/>
    </row>
    <row r="10" spans="1:9" x14ac:dyDescent="0.25">
      <c r="A10" s="2">
        <f t="shared" si="0"/>
        <v>9</v>
      </c>
      <c r="B10" s="3" t="s">
        <v>165</v>
      </c>
      <c r="C10" s="2">
        <v>277500</v>
      </c>
      <c r="D10" s="2"/>
      <c r="E10" s="2" t="s">
        <v>31</v>
      </c>
      <c r="F10" s="11">
        <f>(C10/Cap!$B$1)*100</f>
        <v>3.964285714285714</v>
      </c>
      <c r="G10" s="6"/>
      <c r="H10" s="6"/>
      <c r="I10" s="6"/>
    </row>
    <row r="11" spans="1:9" x14ac:dyDescent="0.25">
      <c r="A11" s="2">
        <f t="shared" si="0"/>
        <v>10</v>
      </c>
      <c r="B11" s="3" t="s">
        <v>166</v>
      </c>
      <c r="C11" s="2">
        <v>1400000</v>
      </c>
      <c r="D11" s="2"/>
      <c r="E11" s="2" t="s">
        <v>34</v>
      </c>
      <c r="F11" s="11">
        <f>(C11/Cap!$B$1)*100</f>
        <v>20</v>
      </c>
      <c r="G11" s="6"/>
      <c r="H11" s="6"/>
      <c r="I11" s="6"/>
    </row>
    <row r="12" spans="1:9" x14ac:dyDescent="0.25">
      <c r="A12" s="2">
        <f t="shared" si="0"/>
        <v>11</v>
      </c>
      <c r="B12" s="3"/>
      <c r="C12" s="2"/>
      <c r="D12" s="2"/>
      <c r="E12" s="2"/>
      <c r="F12" s="11">
        <f>(C12/Cap!$B$1)*100</f>
        <v>0</v>
      </c>
      <c r="G12" s="6"/>
      <c r="H12" s="6"/>
      <c r="I12" s="6"/>
    </row>
    <row r="13" spans="1:9" x14ac:dyDescent="0.25">
      <c r="A13" s="2">
        <f t="shared" si="0"/>
        <v>12</v>
      </c>
      <c r="B13" s="3"/>
      <c r="C13" s="2"/>
      <c r="D13" s="2"/>
      <c r="E13" s="2"/>
      <c r="F13" s="11">
        <f>(C13/Cap!$B$1)*100</f>
        <v>0</v>
      </c>
      <c r="G13" s="6"/>
      <c r="H13" s="6"/>
      <c r="I13" s="6"/>
    </row>
    <row r="14" spans="1:9" x14ac:dyDescent="0.25">
      <c r="A14" s="2">
        <f t="shared" si="0"/>
        <v>13</v>
      </c>
      <c r="B14" s="3"/>
      <c r="C14" s="2"/>
      <c r="D14" s="2"/>
      <c r="E14" s="2"/>
      <c r="F14" s="11">
        <f>(C14/Cap!$B$1)*100</f>
        <v>0</v>
      </c>
      <c r="G14" s="6"/>
      <c r="H14" s="6"/>
      <c r="I14" s="6"/>
    </row>
    <row r="15" spans="1:9" x14ac:dyDescent="0.25">
      <c r="A15" s="2">
        <f t="shared" si="0"/>
        <v>14</v>
      </c>
      <c r="B15" s="3"/>
      <c r="C15" s="2"/>
      <c r="D15" s="2"/>
      <c r="E15" s="2"/>
      <c r="F15" s="11">
        <f>(C15/Cap!$B$1)*100</f>
        <v>0</v>
      </c>
      <c r="G15" s="6"/>
      <c r="H15" s="6"/>
      <c r="I15" s="6"/>
    </row>
    <row r="16" spans="1:9" x14ac:dyDescent="0.25">
      <c r="A16" s="2">
        <f t="shared" si="0"/>
        <v>15</v>
      </c>
      <c r="B16" s="3"/>
      <c r="C16" s="2"/>
      <c r="D16" s="2"/>
      <c r="E16" s="3"/>
      <c r="F16" s="11">
        <f>(C16/Cap!$B$1)*100</f>
        <v>0</v>
      </c>
      <c r="G16" s="6"/>
      <c r="H16" s="6"/>
      <c r="I16" s="6"/>
    </row>
    <row r="17" spans="1:9" x14ac:dyDescent="0.25">
      <c r="A17" s="2">
        <f t="shared" si="0"/>
        <v>16</v>
      </c>
      <c r="B17" s="3"/>
      <c r="C17" s="2"/>
      <c r="D17" s="2"/>
      <c r="E17" s="3"/>
      <c r="F17" s="11">
        <f>(C17/Cap!$B$1)*100</f>
        <v>0</v>
      </c>
      <c r="G17" s="6"/>
      <c r="H17" s="6"/>
      <c r="I17" s="6"/>
    </row>
    <row r="18" spans="1:9" x14ac:dyDescent="0.25">
      <c r="A18" s="2">
        <f t="shared" si="0"/>
        <v>17</v>
      </c>
      <c r="B18" s="3"/>
      <c r="C18" s="2"/>
      <c r="D18" s="2"/>
      <c r="E18" s="3"/>
      <c r="F18" s="11">
        <f>(C18/Cap!$B$1)*100</f>
        <v>0</v>
      </c>
      <c r="G18" s="6"/>
      <c r="H18" s="6"/>
      <c r="I18" s="6"/>
    </row>
    <row r="19" spans="1:9" x14ac:dyDescent="0.25">
      <c r="A19" s="2">
        <f t="shared" si="0"/>
        <v>18</v>
      </c>
      <c r="B19" s="3"/>
      <c r="C19" s="2"/>
      <c r="D19" s="2"/>
      <c r="E19" s="3"/>
      <c r="F19" s="11">
        <f>(C19/Cap!$B$1)*100</f>
        <v>0</v>
      </c>
      <c r="G19" s="6"/>
      <c r="H19" s="6"/>
      <c r="I19" s="6"/>
    </row>
    <row r="20" spans="1:9" x14ac:dyDescent="0.25">
      <c r="A20" s="2">
        <f t="shared" si="0"/>
        <v>19</v>
      </c>
      <c r="B20" s="3"/>
      <c r="C20" s="2"/>
      <c r="D20" s="2"/>
      <c r="E20" s="3"/>
      <c r="F20" s="11">
        <f>(C20/Cap!$B$1)*100</f>
        <v>0</v>
      </c>
      <c r="G20" s="6"/>
      <c r="H20" s="6"/>
      <c r="I20" s="6"/>
    </row>
    <row r="21" spans="1:9" x14ac:dyDescent="0.25">
      <c r="A21" s="2">
        <f t="shared" si="0"/>
        <v>20</v>
      </c>
      <c r="B21" s="3"/>
      <c r="C21" s="2"/>
      <c r="D21" s="2"/>
      <c r="E21" s="3"/>
      <c r="F21" s="11">
        <f>(C21/Cap!$B$1)*100</f>
        <v>0</v>
      </c>
      <c r="G21" s="6"/>
      <c r="H21" s="6"/>
      <c r="I21" s="6"/>
    </row>
    <row r="22" spans="1:9" x14ac:dyDescent="0.25">
      <c r="A22" s="2">
        <f t="shared" si="0"/>
        <v>21</v>
      </c>
      <c r="B22" s="3"/>
      <c r="C22" s="3"/>
      <c r="D22" s="3"/>
      <c r="E22" s="3"/>
      <c r="F22" s="11">
        <f>(C22/Cap!$B$1)*100</f>
        <v>0</v>
      </c>
      <c r="G22" s="6"/>
      <c r="H22" s="6"/>
      <c r="I22" s="6"/>
    </row>
    <row r="23" spans="1:9" x14ac:dyDescent="0.25">
      <c r="A23" s="2">
        <f t="shared" si="0"/>
        <v>22</v>
      </c>
      <c r="B23" s="3"/>
      <c r="C23" s="3"/>
      <c r="D23" s="3"/>
      <c r="E23" s="3"/>
      <c r="F23" s="11">
        <f>(C23/Cap!$B$1)*100</f>
        <v>0</v>
      </c>
      <c r="G23" s="6"/>
      <c r="H23" s="6"/>
      <c r="I23" s="6"/>
    </row>
    <row r="24" spans="1:9" x14ac:dyDescent="0.25">
      <c r="A24" s="2">
        <f>A23+1</f>
        <v>23</v>
      </c>
      <c r="B24" s="3"/>
      <c r="C24" s="3"/>
      <c r="D24" s="3"/>
      <c r="E24" s="3"/>
      <c r="F24" s="11">
        <f>(C24/Cap!$B$1)*100</f>
        <v>0</v>
      </c>
      <c r="G24" s="6"/>
      <c r="H24" s="6"/>
      <c r="I24" s="6"/>
    </row>
    <row r="25" spans="1:9" x14ac:dyDescent="0.25">
      <c r="A25" s="2">
        <f t="shared" si="0"/>
        <v>24</v>
      </c>
      <c r="B25" s="3"/>
      <c r="C25" s="3"/>
      <c r="D25" s="3"/>
      <c r="E25" s="3"/>
      <c r="F25" s="11">
        <f>(C25/Cap!$B$1)*100</f>
        <v>0</v>
      </c>
      <c r="G25" s="6"/>
      <c r="H25" s="6"/>
      <c r="I25" s="6"/>
    </row>
    <row r="26" spans="1:9" x14ac:dyDescent="0.25">
      <c r="A26" s="2">
        <f t="shared" si="0"/>
        <v>25</v>
      </c>
      <c r="B26" s="3"/>
      <c r="C26" s="3"/>
      <c r="D26" s="3"/>
      <c r="E26" s="3"/>
      <c r="F26" s="11">
        <f>(C26/Cap!$B$1)*100</f>
        <v>0</v>
      </c>
      <c r="G26" s="6"/>
      <c r="H26" s="6"/>
      <c r="I26" s="6"/>
    </row>
    <row r="27" spans="1:9" x14ac:dyDescent="0.25">
      <c r="A27" s="6"/>
      <c r="B27" s="9" t="s">
        <v>21</v>
      </c>
      <c r="C27" s="7" t="s">
        <v>78</v>
      </c>
      <c r="D27" s="6"/>
      <c r="E27" s="6"/>
      <c r="F27" s="6"/>
      <c r="G27" s="6"/>
      <c r="H27" s="6"/>
      <c r="I27" s="6"/>
    </row>
    <row r="28" spans="1:9" x14ac:dyDescent="0.25">
      <c r="A28" s="6"/>
      <c r="B28" s="9" t="s">
        <v>32</v>
      </c>
      <c r="C28" s="7"/>
      <c r="D28" s="6"/>
      <c r="E28" s="6"/>
      <c r="F28" s="6"/>
      <c r="G28" s="6"/>
      <c r="H28" s="6"/>
      <c r="I28" s="6"/>
    </row>
    <row r="29" spans="1:9" x14ac:dyDescent="0.25">
      <c r="A29" s="6"/>
      <c r="B29" s="6" t="s">
        <v>167</v>
      </c>
      <c r="C29" s="7">
        <v>270000</v>
      </c>
      <c r="D29" s="6"/>
      <c r="E29" s="6"/>
      <c r="F29" s="6"/>
      <c r="G29" s="6"/>
      <c r="H29" s="6"/>
      <c r="I29" s="6"/>
    </row>
    <row r="30" spans="1:9" x14ac:dyDescent="0.25">
      <c r="A30" s="6"/>
      <c r="B30" s="6" t="s">
        <v>168</v>
      </c>
      <c r="C30" s="7">
        <v>270000</v>
      </c>
      <c r="D30" s="6"/>
      <c r="E30" s="6"/>
      <c r="F30" s="6"/>
      <c r="G30" s="6"/>
      <c r="H30" s="6"/>
      <c r="I30" s="6"/>
    </row>
    <row r="31" spans="1:9" x14ac:dyDescent="0.25">
      <c r="A31" s="6"/>
      <c r="B31" s="6"/>
      <c r="C31" s="7"/>
      <c r="D31" s="6"/>
      <c r="E31" s="6"/>
      <c r="F31" s="6"/>
      <c r="G31" s="6"/>
      <c r="H31" s="6"/>
      <c r="I31" s="6"/>
    </row>
    <row r="32" spans="1:9" x14ac:dyDescent="0.25">
      <c r="A32" s="6"/>
      <c r="B32" s="6"/>
      <c r="C32" s="7"/>
      <c r="D32" s="6"/>
      <c r="E32" s="6"/>
      <c r="F32" s="6"/>
      <c r="G32" s="6"/>
      <c r="H32" s="6"/>
      <c r="I32" s="6"/>
    </row>
    <row r="33" spans="1:9" x14ac:dyDescent="0.25">
      <c r="A33" s="6"/>
      <c r="B33" s="6"/>
      <c r="C33" s="7"/>
      <c r="D33" s="6"/>
      <c r="E33" s="6"/>
      <c r="F33" s="6"/>
      <c r="G33" s="6"/>
      <c r="H33" s="6"/>
      <c r="I33" s="6"/>
    </row>
    <row r="34" spans="1:9" x14ac:dyDescent="0.25">
      <c r="A34" s="6"/>
      <c r="B34" s="6"/>
      <c r="C34" s="7"/>
      <c r="D34" s="6"/>
      <c r="E34" s="6"/>
      <c r="F34" s="6"/>
      <c r="G34" s="6"/>
      <c r="H34" s="6"/>
      <c r="I34" s="6"/>
    </row>
    <row r="35" spans="1:9" x14ac:dyDescent="0.25">
      <c r="A35" s="6"/>
      <c r="B35" s="6"/>
      <c r="C35" s="6"/>
      <c r="D35" s="6"/>
      <c r="E35" s="6"/>
      <c r="F35" s="6"/>
      <c r="G35" s="6"/>
      <c r="I35" s="6"/>
    </row>
  </sheetData>
  <conditionalFormatting sqref="H4">
    <cfRule type="colorScale" priority="1">
      <colorScale>
        <cfvo type="min"/>
        <cfvo type="max"/>
        <color rgb="FF63BE7B"/>
        <color rgb="FFFCFCFF"/>
      </colorScale>
    </cfRule>
  </conditionalFormatting>
  <pageMargins left="0.7" right="0.7" top="0.75" bottom="0.75" header="0.3" footer="0.3"/>
  <ignoredErrors>
    <ignoredError sqref="H2:H3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25E04-AB4D-4395-AE74-4413B429D3A1}">
  <sheetPr>
    <tabColor rgb="FFFFFF00"/>
  </sheetPr>
  <dimension ref="A1:I35"/>
  <sheetViews>
    <sheetView workbookViewId="0"/>
  </sheetViews>
  <sheetFormatPr baseColWidth="10" defaultColWidth="0" defaultRowHeight="15" customHeight="1" zeroHeight="1" x14ac:dyDescent="0.25"/>
  <cols>
    <col min="1" max="1" width="4.7109375" customWidth="1"/>
    <col min="2" max="2" width="30.7109375" customWidth="1"/>
    <col min="3" max="4" width="20.7109375" customWidth="1"/>
    <col min="5" max="6" width="15.7109375" customWidth="1"/>
    <col min="7" max="7" width="22.28515625" bestFit="1" customWidth="1"/>
    <col min="8" max="8" width="11.42578125" customWidth="1"/>
    <col min="9" max="9" width="0" hidden="1" customWidth="1"/>
    <col min="10" max="16384" width="11.42578125" hidden="1"/>
  </cols>
  <sheetData>
    <row r="1" spans="1:9" x14ac:dyDescent="0.25">
      <c r="A1" s="4" t="s">
        <v>28</v>
      </c>
      <c r="B1" s="5" t="s">
        <v>0</v>
      </c>
      <c r="C1" s="4">
        <v>2026</v>
      </c>
      <c r="D1" s="4" t="s">
        <v>1</v>
      </c>
      <c r="E1" s="4" t="s">
        <v>29</v>
      </c>
      <c r="F1" s="4" t="s">
        <v>304</v>
      </c>
      <c r="G1" s="6" t="s">
        <v>27</v>
      </c>
      <c r="H1" s="7">
        <f>Cap!B1-Sparks!H2</f>
        <v>1468650</v>
      </c>
      <c r="I1" s="6"/>
    </row>
    <row r="2" spans="1:9" x14ac:dyDescent="0.25">
      <c r="A2" s="2">
        <v>1</v>
      </c>
      <c r="B2" s="3" t="s">
        <v>169</v>
      </c>
      <c r="C2" s="2">
        <v>1100000</v>
      </c>
      <c r="D2" s="2"/>
      <c r="E2" s="2" t="s">
        <v>34</v>
      </c>
      <c r="F2" s="11">
        <f>(C2/Cap!$B$1)*100</f>
        <v>15.714285714285714</v>
      </c>
      <c r="G2" s="6" t="s">
        <v>37</v>
      </c>
      <c r="H2" s="7" cm="1">
        <f t="array" ref="H2">SUM(SUMIFS(C2:C26, E2:E26, {"U";"V";"Rookie Scale"}))</f>
        <v>5531350</v>
      </c>
      <c r="I2" s="6"/>
    </row>
    <row r="3" spans="1:9" x14ac:dyDescent="0.25">
      <c r="A3" s="2">
        <f>A2+1</f>
        <v>2</v>
      </c>
      <c r="B3" s="3" t="s">
        <v>170</v>
      </c>
      <c r="C3" s="2">
        <v>1085000</v>
      </c>
      <c r="D3" s="2" t="s">
        <v>41</v>
      </c>
      <c r="E3" s="2" t="s">
        <v>34</v>
      </c>
      <c r="F3" s="11">
        <f>(C3/Cap!$B$1)*100</f>
        <v>15.5</v>
      </c>
      <c r="G3" s="6" t="s">
        <v>33</v>
      </c>
      <c r="H3" s="7" cm="1">
        <f t="array" ref="H3">SUM(SUMIFS(C2:C26, E2:E26, {"V";"Rookie Scale"}))</f>
        <v>4759999</v>
      </c>
      <c r="I3" s="6"/>
    </row>
    <row r="4" spans="1:9" x14ac:dyDescent="0.25">
      <c r="A4" s="2">
        <f t="shared" ref="A4:A26" si="0">A3+1</f>
        <v>3</v>
      </c>
      <c r="B4" s="3" t="s">
        <v>171</v>
      </c>
      <c r="C4" s="2">
        <v>999999</v>
      </c>
      <c r="D4" s="2" t="s">
        <v>172</v>
      </c>
      <c r="E4" s="2" t="s">
        <v>34</v>
      </c>
      <c r="F4" s="11">
        <f>(C4/Cap!$B$1)*100</f>
        <v>14.285700000000002</v>
      </c>
      <c r="G4" s="8" t="s">
        <v>35</v>
      </c>
      <c r="H4" s="7" cm="1">
        <f t="array" ref="H4">SUM(COUNTIF(E2:E26,{"U";"V";"Rookie Scale"}))</f>
        <v>7</v>
      </c>
      <c r="I4" s="6"/>
    </row>
    <row r="5" spans="1:9" x14ac:dyDescent="0.25">
      <c r="A5" s="2">
        <f t="shared" si="0"/>
        <v>4</v>
      </c>
      <c r="B5" s="3" t="s">
        <v>173</v>
      </c>
      <c r="C5" s="2">
        <v>950000</v>
      </c>
      <c r="D5" s="2" t="s">
        <v>174</v>
      </c>
      <c r="E5" s="2" t="s">
        <v>34</v>
      </c>
      <c r="F5" s="11">
        <f>(C5/Cap!$B$1)*100</f>
        <v>13.571428571428571</v>
      </c>
      <c r="G5" s="8" t="s">
        <v>36</v>
      </c>
      <c r="H5" s="7" cm="1">
        <f t="array" ref="H5">SUM(COUNTIF(E2:E26,{"V";"Rookie Scale"}))</f>
        <v>5</v>
      </c>
      <c r="I5" s="6"/>
    </row>
    <row r="6" spans="1:9" x14ac:dyDescent="0.25">
      <c r="A6" s="2">
        <f t="shared" si="0"/>
        <v>5</v>
      </c>
      <c r="B6" s="3" t="s">
        <v>175</v>
      </c>
      <c r="C6" s="2">
        <v>625000</v>
      </c>
      <c r="D6" s="2"/>
      <c r="E6" s="2" t="s">
        <v>34</v>
      </c>
      <c r="F6" s="11">
        <f>(C6/Cap!$B$1)*100</f>
        <v>8.9285714285714288</v>
      </c>
      <c r="G6" s="8" t="s">
        <v>60</v>
      </c>
      <c r="H6" s="10">
        <f>H1/(Cap!B3-Sparks!H4)</f>
        <v>293730</v>
      </c>
      <c r="I6" s="6"/>
    </row>
    <row r="7" spans="1:9" x14ac:dyDescent="0.25">
      <c r="A7" s="2">
        <f t="shared" si="0"/>
        <v>6</v>
      </c>
      <c r="B7" s="3" t="s">
        <v>176</v>
      </c>
      <c r="C7" s="2">
        <v>493851</v>
      </c>
      <c r="D7" s="2"/>
      <c r="E7" s="2" t="s">
        <v>30</v>
      </c>
      <c r="F7" s="11">
        <f>(C7/Cap!$B$1)*100</f>
        <v>7.055014285714285</v>
      </c>
      <c r="G7" s="8" t="s">
        <v>304</v>
      </c>
      <c r="H7" s="12">
        <f>(H2/Cap!$B$1)*100</f>
        <v>79.019285714285715</v>
      </c>
      <c r="I7" s="6"/>
    </row>
    <row r="8" spans="1:9" x14ac:dyDescent="0.25">
      <c r="A8" s="2">
        <f t="shared" si="0"/>
        <v>7</v>
      </c>
      <c r="B8" s="3" t="s">
        <v>177</v>
      </c>
      <c r="C8" s="2">
        <v>277500</v>
      </c>
      <c r="D8" s="2"/>
      <c r="E8" s="2" t="s">
        <v>30</v>
      </c>
      <c r="F8" s="11">
        <f>(C8/Cap!$B$1)*100</f>
        <v>3.964285714285714</v>
      </c>
      <c r="G8" s="6"/>
      <c r="H8" s="6"/>
      <c r="I8" s="6"/>
    </row>
    <row r="9" spans="1:9" x14ac:dyDescent="0.25">
      <c r="A9" s="2">
        <f t="shared" si="0"/>
        <v>8</v>
      </c>
      <c r="B9" s="3" t="s">
        <v>178</v>
      </c>
      <c r="C9" s="2">
        <v>277500</v>
      </c>
      <c r="D9" s="2"/>
      <c r="E9" s="2" t="s">
        <v>31</v>
      </c>
      <c r="F9" s="11">
        <f>(C9/Cap!$B$1)*100</f>
        <v>3.964285714285714</v>
      </c>
      <c r="G9" s="6"/>
      <c r="H9" s="6"/>
      <c r="I9" s="6"/>
    </row>
    <row r="10" spans="1:9" x14ac:dyDescent="0.25">
      <c r="A10" s="2">
        <f t="shared" si="0"/>
        <v>9</v>
      </c>
      <c r="B10" s="3" t="s">
        <v>179</v>
      </c>
      <c r="C10" s="2">
        <v>277500</v>
      </c>
      <c r="D10" s="2"/>
      <c r="E10" s="2" t="s">
        <v>31</v>
      </c>
      <c r="F10" s="11">
        <f>(C10/Cap!$B$1)*100</f>
        <v>3.964285714285714</v>
      </c>
      <c r="G10" s="6"/>
      <c r="H10" s="6"/>
      <c r="I10" s="6"/>
    </row>
    <row r="11" spans="1:9" x14ac:dyDescent="0.25">
      <c r="A11" s="2">
        <f t="shared" si="0"/>
        <v>10</v>
      </c>
      <c r="B11" s="3" t="s">
        <v>180</v>
      </c>
      <c r="C11" s="2" t="s">
        <v>17</v>
      </c>
      <c r="D11" s="2"/>
      <c r="E11" s="2"/>
      <c r="F11" s="11" t="e">
        <f>(C11/Cap!$B$1)*100</f>
        <v>#VALUE!</v>
      </c>
      <c r="G11" s="6"/>
      <c r="H11" s="6"/>
      <c r="I11" s="6"/>
    </row>
    <row r="12" spans="1:9" x14ac:dyDescent="0.25">
      <c r="A12" s="2">
        <f t="shared" si="0"/>
        <v>11</v>
      </c>
      <c r="B12" s="3" t="s">
        <v>181</v>
      </c>
      <c r="C12" s="2" t="s">
        <v>17</v>
      </c>
      <c r="D12" s="2"/>
      <c r="E12" s="2"/>
      <c r="F12" s="11" t="e">
        <f>(C12/Cap!$B$1)*100</f>
        <v>#VALUE!</v>
      </c>
      <c r="G12" s="6"/>
      <c r="H12" s="6"/>
      <c r="I12" s="6"/>
    </row>
    <row r="13" spans="1:9" x14ac:dyDescent="0.25">
      <c r="A13" s="2">
        <f t="shared" si="0"/>
        <v>12</v>
      </c>
      <c r="B13" s="3"/>
      <c r="C13" s="2"/>
      <c r="D13" s="2"/>
      <c r="E13" s="2"/>
      <c r="F13" s="11">
        <f>(C13/Cap!$B$1)*100</f>
        <v>0</v>
      </c>
      <c r="G13" s="6"/>
      <c r="H13" s="6"/>
      <c r="I13" s="6"/>
    </row>
    <row r="14" spans="1:9" x14ac:dyDescent="0.25">
      <c r="A14" s="2">
        <f t="shared" si="0"/>
        <v>13</v>
      </c>
      <c r="B14" s="3"/>
      <c r="C14" s="2"/>
      <c r="D14" s="2"/>
      <c r="E14" s="2"/>
      <c r="F14" s="11">
        <f>(C14/Cap!$B$1)*100</f>
        <v>0</v>
      </c>
      <c r="G14" s="6"/>
      <c r="H14" s="6"/>
      <c r="I14" s="6"/>
    </row>
    <row r="15" spans="1:9" x14ac:dyDescent="0.25">
      <c r="A15" s="2">
        <f t="shared" si="0"/>
        <v>14</v>
      </c>
      <c r="B15" s="3"/>
      <c r="C15" s="2"/>
      <c r="D15" s="2"/>
      <c r="E15" s="2"/>
      <c r="F15" s="11">
        <f>(C15/Cap!$B$1)*100</f>
        <v>0</v>
      </c>
      <c r="G15" s="6"/>
      <c r="H15" s="6"/>
      <c r="I15" s="6"/>
    </row>
    <row r="16" spans="1:9" x14ac:dyDescent="0.25">
      <c r="A16" s="2">
        <f t="shared" si="0"/>
        <v>15</v>
      </c>
      <c r="B16" s="3"/>
      <c r="C16" s="2"/>
      <c r="D16" s="2"/>
      <c r="E16" s="3"/>
      <c r="F16" s="11">
        <f>(C16/Cap!$B$1)*100</f>
        <v>0</v>
      </c>
      <c r="G16" s="6"/>
      <c r="H16" s="6"/>
      <c r="I16" s="6"/>
    </row>
    <row r="17" spans="1:9" x14ac:dyDescent="0.25">
      <c r="A17" s="2">
        <f t="shared" si="0"/>
        <v>16</v>
      </c>
      <c r="B17" s="3"/>
      <c r="C17" s="2"/>
      <c r="D17" s="2"/>
      <c r="E17" s="3"/>
      <c r="F17" s="11">
        <f>(C17/Cap!$B$1)*100</f>
        <v>0</v>
      </c>
      <c r="G17" s="6"/>
      <c r="H17" s="6"/>
      <c r="I17" s="6"/>
    </row>
    <row r="18" spans="1:9" x14ac:dyDescent="0.25">
      <c r="A18" s="2">
        <f t="shared" si="0"/>
        <v>17</v>
      </c>
      <c r="B18" s="3"/>
      <c r="C18" s="2"/>
      <c r="D18" s="2"/>
      <c r="E18" s="3"/>
      <c r="F18" s="11">
        <f>(C18/Cap!$B$1)*100</f>
        <v>0</v>
      </c>
      <c r="G18" s="6"/>
      <c r="H18" s="6"/>
      <c r="I18" s="6"/>
    </row>
    <row r="19" spans="1:9" x14ac:dyDescent="0.25">
      <c r="A19" s="2">
        <f t="shared" si="0"/>
        <v>18</v>
      </c>
      <c r="B19" s="3"/>
      <c r="C19" s="2"/>
      <c r="D19" s="2"/>
      <c r="E19" s="3"/>
      <c r="F19" s="11">
        <f>(C19/Cap!$B$1)*100</f>
        <v>0</v>
      </c>
      <c r="G19" s="6"/>
      <c r="H19" s="6"/>
      <c r="I19" s="6"/>
    </row>
    <row r="20" spans="1:9" x14ac:dyDescent="0.25">
      <c r="A20" s="2">
        <f t="shared" si="0"/>
        <v>19</v>
      </c>
      <c r="B20" s="3"/>
      <c r="C20" s="2"/>
      <c r="D20" s="2"/>
      <c r="E20" s="3"/>
      <c r="F20" s="11">
        <f>(C20/Cap!$B$1)*100</f>
        <v>0</v>
      </c>
      <c r="G20" s="6"/>
      <c r="H20" s="6"/>
      <c r="I20" s="6"/>
    </row>
    <row r="21" spans="1:9" x14ac:dyDescent="0.25">
      <c r="A21" s="2">
        <f t="shared" si="0"/>
        <v>20</v>
      </c>
      <c r="B21" s="3"/>
      <c r="C21" s="2"/>
      <c r="D21" s="2"/>
      <c r="E21" s="3"/>
      <c r="F21" s="11">
        <f>(C21/Cap!$B$1)*100</f>
        <v>0</v>
      </c>
      <c r="G21" s="6"/>
      <c r="H21" s="6"/>
      <c r="I21" s="6"/>
    </row>
    <row r="22" spans="1:9" x14ac:dyDescent="0.25">
      <c r="A22" s="2">
        <f t="shared" si="0"/>
        <v>21</v>
      </c>
      <c r="B22" s="3"/>
      <c r="C22" s="3"/>
      <c r="D22" s="3"/>
      <c r="E22" s="3"/>
      <c r="F22" s="11">
        <f>(C22/Cap!$B$1)*100</f>
        <v>0</v>
      </c>
      <c r="G22" s="6"/>
      <c r="H22" s="6"/>
      <c r="I22" s="6"/>
    </row>
    <row r="23" spans="1:9" x14ac:dyDescent="0.25">
      <c r="A23" s="2">
        <f t="shared" si="0"/>
        <v>22</v>
      </c>
      <c r="B23" s="3"/>
      <c r="C23" s="3"/>
      <c r="D23" s="3"/>
      <c r="E23" s="3"/>
      <c r="F23" s="11">
        <f>(C23/Cap!$B$1)*100</f>
        <v>0</v>
      </c>
      <c r="G23" s="6"/>
      <c r="H23" s="6"/>
      <c r="I23" s="6"/>
    </row>
    <row r="24" spans="1:9" x14ac:dyDescent="0.25">
      <c r="A24" s="2">
        <f>A23+1</f>
        <v>23</v>
      </c>
      <c r="B24" s="3"/>
      <c r="C24" s="3"/>
      <c r="D24" s="3"/>
      <c r="E24" s="3"/>
      <c r="F24" s="11">
        <f>(C24/Cap!$B$1)*100</f>
        <v>0</v>
      </c>
      <c r="G24" s="6"/>
      <c r="H24" s="6"/>
      <c r="I24" s="6"/>
    </row>
    <row r="25" spans="1:9" x14ac:dyDescent="0.25">
      <c r="A25" s="2">
        <f t="shared" si="0"/>
        <v>24</v>
      </c>
      <c r="B25" s="3"/>
      <c r="C25" s="3"/>
      <c r="D25" s="3"/>
      <c r="E25" s="3"/>
      <c r="F25" s="11">
        <f>(C25/Cap!$B$1)*100</f>
        <v>0</v>
      </c>
      <c r="G25" s="6"/>
      <c r="H25" s="6"/>
      <c r="I25" s="6"/>
    </row>
    <row r="26" spans="1:9" x14ac:dyDescent="0.25">
      <c r="A26" s="2">
        <f t="shared" si="0"/>
        <v>25</v>
      </c>
      <c r="B26" s="3"/>
      <c r="C26" s="3"/>
      <c r="D26" s="3"/>
      <c r="E26" s="3"/>
      <c r="F26" s="11">
        <f>(C26/Cap!$B$1)*100</f>
        <v>0</v>
      </c>
      <c r="G26" s="6"/>
      <c r="H26" s="6"/>
      <c r="I26" s="6"/>
    </row>
    <row r="27" spans="1:9" x14ac:dyDescent="0.25">
      <c r="A27" s="6"/>
      <c r="B27" s="9" t="s">
        <v>21</v>
      </c>
      <c r="C27" s="7" t="s">
        <v>185</v>
      </c>
      <c r="D27" s="6"/>
      <c r="E27" s="6"/>
      <c r="F27" s="6"/>
      <c r="G27" s="6"/>
      <c r="H27" s="6"/>
      <c r="I27" s="6"/>
    </row>
    <row r="28" spans="1:9" x14ac:dyDescent="0.25">
      <c r="A28" s="6"/>
      <c r="B28" s="9" t="s">
        <v>32</v>
      </c>
      <c r="C28" s="7"/>
      <c r="D28" s="6"/>
      <c r="E28" s="6"/>
      <c r="F28" s="6"/>
      <c r="G28" s="6"/>
      <c r="H28" s="6"/>
      <c r="I28" s="6"/>
    </row>
    <row r="29" spans="1:9" x14ac:dyDescent="0.25">
      <c r="A29" s="6"/>
      <c r="B29" s="6" t="s">
        <v>182</v>
      </c>
      <c r="C29" s="7">
        <v>270000</v>
      </c>
      <c r="D29" s="6"/>
      <c r="E29" s="6"/>
      <c r="F29" s="6"/>
      <c r="G29" s="6"/>
      <c r="H29" s="6"/>
      <c r="I29" s="6"/>
    </row>
    <row r="30" spans="1:9" x14ac:dyDescent="0.25">
      <c r="A30" s="6"/>
      <c r="B30" s="6" t="s">
        <v>183</v>
      </c>
      <c r="C30" s="7">
        <v>270000</v>
      </c>
      <c r="D30" s="6"/>
      <c r="E30" s="6"/>
      <c r="F30" s="6"/>
      <c r="G30" s="6"/>
      <c r="H30" s="6"/>
      <c r="I30" s="6"/>
    </row>
    <row r="31" spans="1:9" x14ac:dyDescent="0.25">
      <c r="A31" s="6"/>
      <c r="B31" s="6" t="s">
        <v>184</v>
      </c>
      <c r="C31" s="7">
        <v>270000</v>
      </c>
      <c r="D31" s="6"/>
      <c r="E31" s="6"/>
      <c r="F31" s="6"/>
      <c r="G31" s="6"/>
      <c r="H31" s="6"/>
      <c r="I31" s="6"/>
    </row>
    <row r="32" spans="1:9" x14ac:dyDescent="0.25">
      <c r="A32" s="6"/>
      <c r="B32" s="6"/>
      <c r="C32" s="7"/>
      <c r="D32" s="6"/>
      <c r="E32" s="6"/>
      <c r="F32" s="6"/>
      <c r="G32" s="6"/>
      <c r="H32" s="6"/>
      <c r="I32" s="6"/>
    </row>
    <row r="33" spans="1:9" x14ac:dyDescent="0.25">
      <c r="A33" s="6"/>
      <c r="B33" s="6"/>
      <c r="C33" s="7"/>
      <c r="D33" s="6"/>
      <c r="E33" s="6"/>
      <c r="F33" s="6"/>
      <c r="G33" s="6"/>
      <c r="H33" s="6"/>
      <c r="I33" s="6"/>
    </row>
    <row r="34" spans="1:9" x14ac:dyDescent="0.25">
      <c r="A34" s="6"/>
      <c r="B34" s="6"/>
      <c r="C34" s="7"/>
      <c r="D34" s="6"/>
      <c r="E34" s="6"/>
      <c r="F34" s="6"/>
      <c r="G34" s="6"/>
      <c r="H34" s="6"/>
      <c r="I34" s="6"/>
    </row>
    <row r="35" spans="1:9" x14ac:dyDescent="0.25">
      <c r="A35" s="6"/>
      <c r="B35" s="6"/>
      <c r="C35" s="6"/>
      <c r="D35" s="6"/>
      <c r="E35" s="6"/>
      <c r="F35" s="6"/>
      <c r="G35" s="6"/>
      <c r="I35" s="6"/>
    </row>
  </sheetData>
  <conditionalFormatting sqref="H4">
    <cfRule type="colorScale" priority="1">
      <colorScale>
        <cfvo type="min"/>
        <cfvo type="max"/>
        <color rgb="FF63BE7B"/>
        <color rgb="FFFCFCFF"/>
      </colorScale>
    </cfRule>
  </conditionalFormatting>
  <pageMargins left="0.7" right="0.7" top="0.75" bottom="0.75" header="0.3" footer="0.3"/>
  <ignoredErrors>
    <ignoredError sqref="F11:F12" evalError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5D1D0-E795-4DED-9720-D403DC5A73F0}">
  <sheetPr>
    <tabColor rgb="FF0070C0"/>
  </sheetPr>
  <dimension ref="A1:I35"/>
  <sheetViews>
    <sheetView workbookViewId="0"/>
  </sheetViews>
  <sheetFormatPr baseColWidth="10" defaultColWidth="0" defaultRowHeight="15" customHeight="1" zeroHeight="1" x14ac:dyDescent="0.25"/>
  <cols>
    <col min="1" max="1" width="4.7109375" customWidth="1"/>
    <col min="2" max="2" width="30.7109375" customWidth="1"/>
    <col min="3" max="4" width="20.7109375" customWidth="1"/>
    <col min="5" max="6" width="15.7109375" customWidth="1"/>
    <col min="7" max="7" width="22.28515625" bestFit="1" customWidth="1"/>
    <col min="8" max="8" width="11.42578125" customWidth="1"/>
    <col min="9" max="9" width="0" hidden="1" customWidth="1"/>
    <col min="10" max="16384" width="11.42578125" hidden="1"/>
  </cols>
  <sheetData>
    <row r="1" spans="1:9" x14ac:dyDescent="0.25">
      <c r="A1" s="4" t="s">
        <v>28</v>
      </c>
      <c r="B1" s="5" t="s">
        <v>0</v>
      </c>
      <c r="C1" s="4">
        <v>2026</v>
      </c>
      <c r="D1" s="4" t="s">
        <v>1</v>
      </c>
      <c r="E1" s="4" t="s">
        <v>29</v>
      </c>
      <c r="F1" s="4" t="s">
        <v>304</v>
      </c>
      <c r="G1" s="6" t="s">
        <v>27</v>
      </c>
      <c r="H1" s="7">
        <f>Cap!B1-Lynx!H2</f>
        <v>1303590</v>
      </c>
      <c r="I1" s="6"/>
    </row>
    <row r="2" spans="1:9" x14ac:dyDescent="0.25">
      <c r="A2" s="2">
        <v>1</v>
      </c>
      <c r="B2" s="3" t="s">
        <v>186</v>
      </c>
      <c r="C2" s="2">
        <v>1190000</v>
      </c>
      <c r="D2" s="2"/>
      <c r="E2" s="2" t="s">
        <v>34</v>
      </c>
      <c r="F2" s="11">
        <f>(C2/Cap!$B$1)*100</f>
        <v>17</v>
      </c>
      <c r="G2" s="6" t="s">
        <v>37</v>
      </c>
      <c r="H2" s="7" cm="1">
        <f t="array" ref="H2">SUM(SUMIFS(C2:C26, E2:E26, {"U";"V";"Rookie Scale"}))</f>
        <v>5696410</v>
      </c>
      <c r="I2" s="6"/>
    </row>
    <row r="3" spans="1:9" x14ac:dyDescent="0.25">
      <c r="A3" s="2">
        <f>A2+1</f>
        <v>2</v>
      </c>
      <c r="B3" s="3" t="s">
        <v>187</v>
      </c>
      <c r="C3" s="2">
        <v>1190000</v>
      </c>
      <c r="D3" s="2"/>
      <c r="E3" s="2" t="s">
        <v>34</v>
      </c>
      <c r="F3" s="11">
        <f>(C3/Cap!$B$1)*100</f>
        <v>17</v>
      </c>
      <c r="G3" s="6" t="s">
        <v>33</v>
      </c>
      <c r="H3" s="7" cm="1">
        <f t="array" ref="H3">SUM(SUMIFS(C2:C26, E2:E26, {"V";"Rookie Scale"}))</f>
        <v>5148910</v>
      </c>
      <c r="I3" s="6"/>
    </row>
    <row r="4" spans="1:9" x14ac:dyDescent="0.25">
      <c r="A4" s="2">
        <f t="shared" ref="A4:A26" si="0">A3+1</f>
        <v>3</v>
      </c>
      <c r="B4" s="3" t="s">
        <v>188</v>
      </c>
      <c r="C4" s="2">
        <v>700000</v>
      </c>
      <c r="D4" s="2" t="s">
        <v>189</v>
      </c>
      <c r="E4" s="2" t="s">
        <v>34</v>
      </c>
      <c r="F4" s="11">
        <f>(C4/Cap!$B$1)*100</f>
        <v>10</v>
      </c>
      <c r="G4" s="8" t="s">
        <v>35</v>
      </c>
      <c r="H4" s="7" cm="1">
        <f t="array" ref="H4">SUM(COUNTIF(E2:E26,{"U";"V";"Rookie Scale"}))</f>
        <v>8</v>
      </c>
      <c r="I4" s="6"/>
    </row>
    <row r="5" spans="1:9" x14ac:dyDescent="0.25">
      <c r="A5" s="2">
        <f t="shared" si="0"/>
        <v>4</v>
      </c>
      <c r="B5" s="3" t="s">
        <v>190</v>
      </c>
      <c r="C5" s="2">
        <v>350000</v>
      </c>
      <c r="D5" s="2"/>
      <c r="E5" s="2" t="s">
        <v>34</v>
      </c>
      <c r="F5" s="11">
        <f>(C5/Cap!$B$1)*100</f>
        <v>5</v>
      </c>
      <c r="G5" s="8" t="s">
        <v>36</v>
      </c>
      <c r="H5" s="7" cm="1">
        <f t="array" ref="H5">SUM(COUNTIF(E2:E26,{"V";"Rookie Scale"}))</f>
        <v>6</v>
      </c>
      <c r="I5" s="6"/>
    </row>
    <row r="6" spans="1:9" x14ac:dyDescent="0.25">
      <c r="A6" s="2">
        <f t="shared" si="0"/>
        <v>5</v>
      </c>
      <c r="B6" s="3" t="s">
        <v>191</v>
      </c>
      <c r="C6" s="2">
        <v>318910</v>
      </c>
      <c r="D6" s="2"/>
      <c r="E6" s="2" t="s">
        <v>301</v>
      </c>
      <c r="F6" s="11">
        <f>(C6/Cap!$B$1)*100</f>
        <v>4.5558571428571426</v>
      </c>
      <c r="G6" s="8" t="s">
        <v>60</v>
      </c>
      <c r="H6" s="10">
        <f>H1/(Cap!B3-Lynx!H4)</f>
        <v>325897.5</v>
      </c>
      <c r="I6" s="6"/>
    </row>
    <row r="7" spans="1:9" x14ac:dyDescent="0.25">
      <c r="A7" s="2">
        <f t="shared" si="0"/>
        <v>6</v>
      </c>
      <c r="B7" s="3" t="s">
        <v>192</v>
      </c>
      <c r="C7" s="2">
        <v>277500</v>
      </c>
      <c r="D7" s="2"/>
      <c r="E7" s="2" t="s">
        <v>30</v>
      </c>
      <c r="F7" s="11">
        <f>(C7/Cap!$B$1)*100</f>
        <v>3.964285714285714</v>
      </c>
      <c r="G7" s="8" t="s">
        <v>304</v>
      </c>
      <c r="H7" s="12">
        <f>(H2/Cap!$B$1)*100</f>
        <v>81.377285714285719</v>
      </c>
      <c r="I7" s="6"/>
    </row>
    <row r="8" spans="1:9" x14ac:dyDescent="0.25">
      <c r="A8" s="2">
        <f t="shared" si="0"/>
        <v>7</v>
      </c>
      <c r="B8" s="3" t="s">
        <v>193</v>
      </c>
      <c r="C8" s="2">
        <v>277500</v>
      </c>
      <c r="D8" s="2"/>
      <c r="E8" s="2" t="s">
        <v>31</v>
      </c>
      <c r="F8" s="11">
        <f>(C8/Cap!$B$1)*100</f>
        <v>3.964285714285714</v>
      </c>
      <c r="G8" s="6"/>
      <c r="H8" s="6"/>
      <c r="I8" s="6"/>
    </row>
    <row r="9" spans="1:9" x14ac:dyDescent="0.25">
      <c r="A9" s="2">
        <f t="shared" si="0"/>
        <v>8</v>
      </c>
      <c r="B9" s="3" t="s">
        <v>194</v>
      </c>
      <c r="C9" s="2">
        <v>270000</v>
      </c>
      <c r="D9" s="2"/>
      <c r="E9" s="2" t="s">
        <v>30</v>
      </c>
      <c r="F9" s="11">
        <f>(C9/Cap!$B$1)*100</f>
        <v>3.8571428571428568</v>
      </c>
      <c r="G9" s="6"/>
      <c r="H9" s="6"/>
      <c r="I9" s="6"/>
    </row>
    <row r="10" spans="1:9" x14ac:dyDescent="0.25">
      <c r="A10" s="2">
        <f t="shared" si="0"/>
        <v>9</v>
      </c>
      <c r="B10" s="3" t="s">
        <v>195</v>
      </c>
      <c r="C10" s="2">
        <v>270000</v>
      </c>
      <c r="D10" s="2"/>
      <c r="E10" s="2" t="s">
        <v>31</v>
      </c>
      <c r="F10" s="11">
        <f>(C10/Cap!$B$1)*100</f>
        <v>3.8571428571428568</v>
      </c>
      <c r="G10" s="6"/>
      <c r="H10" s="6"/>
      <c r="I10" s="6"/>
    </row>
    <row r="11" spans="1:9" x14ac:dyDescent="0.25">
      <c r="A11" s="2">
        <f t="shared" si="0"/>
        <v>10</v>
      </c>
      <c r="B11" s="3" t="s">
        <v>196</v>
      </c>
      <c r="C11" s="2">
        <v>270000</v>
      </c>
      <c r="D11" s="2"/>
      <c r="E11" s="2" t="s">
        <v>31</v>
      </c>
      <c r="F11" s="11">
        <f>(C11/Cap!$B$1)*100</f>
        <v>3.8571428571428568</v>
      </c>
      <c r="G11" s="6"/>
      <c r="H11" s="6"/>
      <c r="I11" s="6"/>
    </row>
    <row r="12" spans="1:9" x14ac:dyDescent="0.25">
      <c r="A12" s="2">
        <f t="shared" si="0"/>
        <v>11</v>
      </c>
      <c r="B12" s="3" t="s">
        <v>197</v>
      </c>
      <c r="C12" s="2">
        <v>270000</v>
      </c>
      <c r="D12" s="2"/>
      <c r="E12" s="2" t="s">
        <v>31</v>
      </c>
      <c r="F12" s="11">
        <f>(C12/Cap!$B$1)*100</f>
        <v>3.8571428571428568</v>
      </c>
      <c r="G12" s="6"/>
      <c r="H12" s="6"/>
      <c r="I12" s="6"/>
    </row>
    <row r="13" spans="1:9" x14ac:dyDescent="0.25">
      <c r="A13" s="2">
        <f t="shared" si="0"/>
        <v>12</v>
      </c>
      <c r="B13" s="3" t="s">
        <v>198</v>
      </c>
      <c r="C13" s="2">
        <v>270000</v>
      </c>
      <c r="D13" s="2"/>
      <c r="E13" s="2" t="s">
        <v>31</v>
      </c>
      <c r="F13" s="11">
        <f>(C13/Cap!$B$1)*100</f>
        <v>3.8571428571428568</v>
      </c>
      <c r="G13" s="6"/>
      <c r="H13" s="6"/>
      <c r="I13" s="6"/>
    </row>
    <row r="14" spans="1:9" x14ac:dyDescent="0.25">
      <c r="A14" s="2">
        <f t="shared" si="0"/>
        <v>13</v>
      </c>
      <c r="B14" s="3" t="s">
        <v>199</v>
      </c>
      <c r="C14" s="2">
        <v>1400000</v>
      </c>
      <c r="D14" s="2"/>
      <c r="E14" s="2" t="s">
        <v>34</v>
      </c>
      <c r="F14" s="11">
        <f>(C14/Cap!$B$1)*100</f>
        <v>20</v>
      </c>
      <c r="G14" s="6"/>
      <c r="H14" s="6"/>
      <c r="I14" s="6"/>
    </row>
    <row r="15" spans="1:9" x14ac:dyDescent="0.25">
      <c r="A15" s="2">
        <f t="shared" si="0"/>
        <v>14</v>
      </c>
      <c r="B15" s="3"/>
      <c r="C15" s="2"/>
      <c r="D15" s="2"/>
      <c r="E15" s="2"/>
      <c r="F15" s="11">
        <f>(C15/Cap!$B$1)*100</f>
        <v>0</v>
      </c>
      <c r="G15" s="6"/>
      <c r="H15" s="6"/>
      <c r="I15" s="6"/>
    </row>
    <row r="16" spans="1:9" x14ac:dyDescent="0.25">
      <c r="A16" s="2">
        <f t="shared" si="0"/>
        <v>15</v>
      </c>
      <c r="B16" s="3"/>
      <c r="C16" s="2"/>
      <c r="D16" s="2"/>
      <c r="E16" s="3"/>
      <c r="F16" s="11">
        <f>(C16/Cap!$B$1)*100</f>
        <v>0</v>
      </c>
      <c r="G16" s="6"/>
      <c r="H16" s="6"/>
      <c r="I16" s="6"/>
    </row>
    <row r="17" spans="1:9" x14ac:dyDescent="0.25">
      <c r="A17" s="2">
        <f t="shared" si="0"/>
        <v>16</v>
      </c>
      <c r="B17" s="3"/>
      <c r="C17" s="2"/>
      <c r="D17" s="2"/>
      <c r="E17" s="3"/>
      <c r="F17" s="11">
        <f>(C17/Cap!$B$1)*100</f>
        <v>0</v>
      </c>
      <c r="G17" s="6"/>
      <c r="H17" s="6"/>
      <c r="I17" s="6"/>
    </row>
    <row r="18" spans="1:9" x14ac:dyDescent="0.25">
      <c r="A18" s="2">
        <f t="shared" si="0"/>
        <v>17</v>
      </c>
      <c r="B18" s="3"/>
      <c r="C18" s="2"/>
      <c r="D18" s="2"/>
      <c r="E18" s="3"/>
      <c r="F18" s="11">
        <f>(C18/Cap!$B$1)*100</f>
        <v>0</v>
      </c>
      <c r="G18" s="6"/>
      <c r="H18" s="6"/>
      <c r="I18" s="6"/>
    </row>
    <row r="19" spans="1:9" x14ac:dyDescent="0.25">
      <c r="A19" s="2">
        <f t="shared" si="0"/>
        <v>18</v>
      </c>
      <c r="B19" s="3"/>
      <c r="C19" s="2"/>
      <c r="D19" s="2"/>
      <c r="E19" s="3"/>
      <c r="F19" s="11">
        <f>(C19/Cap!$B$1)*100</f>
        <v>0</v>
      </c>
      <c r="G19" s="6"/>
      <c r="H19" s="6"/>
      <c r="I19" s="6"/>
    </row>
    <row r="20" spans="1:9" x14ac:dyDescent="0.25">
      <c r="A20" s="2">
        <f t="shared" si="0"/>
        <v>19</v>
      </c>
      <c r="B20" s="3"/>
      <c r="C20" s="2"/>
      <c r="D20" s="2"/>
      <c r="E20" s="3"/>
      <c r="F20" s="11">
        <f>(C20/Cap!$B$1)*100</f>
        <v>0</v>
      </c>
      <c r="G20" s="6"/>
      <c r="H20" s="6"/>
      <c r="I20" s="6"/>
    </row>
    <row r="21" spans="1:9" x14ac:dyDescent="0.25">
      <c r="A21" s="2">
        <f t="shared" si="0"/>
        <v>20</v>
      </c>
      <c r="B21" s="3"/>
      <c r="C21" s="2"/>
      <c r="D21" s="2"/>
      <c r="E21" s="3"/>
      <c r="F21" s="11">
        <f>(C21/Cap!$B$1)*100</f>
        <v>0</v>
      </c>
      <c r="G21" s="6"/>
      <c r="H21" s="6"/>
      <c r="I21" s="6"/>
    </row>
    <row r="22" spans="1:9" x14ac:dyDescent="0.25">
      <c r="A22" s="2">
        <f t="shared" si="0"/>
        <v>21</v>
      </c>
      <c r="B22" s="3"/>
      <c r="C22" s="3"/>
      <c r="D22" s="3"/>
      <c r="E22" s="3"/>
      <c r="F22" s="11">
        <f>(C22/Cap!$B$1)*100</f>
        <v>0</v>
      </c>
      <c r="G22" s="6"/>
      <c r="H22" s="6"/>
      <c r="I22" s="6"/>
    </row>
    <row r="23" spans="1:9" x14ac:dyDescent="0.25">
      <c r="A23" s="2">
        <f t="shared" si="0"/>
        <v>22</v>
      </c>
      <c r="B23" s="3"/>
      <c r="C23" s="3"/>
      <c r="D23" s="3"/>
      <c r="E23" s="3"/>
      <c r="F23" s="11">
        <f>(C23/Cap!$B$1)*100</f>
        <v>0</v>
      </c>
      <c r="G23" s="6"/>
      <c r="H23" s="6"/>
      <c r="I23" s="6"/>
    </row>
    <row r="24" spans="1:9" x14ac:dyDescent="0.25">
      <c r="A24" s="2">
        <f>A23+1</f>
        <v>23</v>
      </c>
      <c r="B24" s="3"/>
      <c r="C24" s="3"/>
      <c r="D24" s="3"/>
      <c r="E24" s="3"/>
      <c r="F24" s="11">
        <f>(C24/Cap!$B$1)*100</f>
        <v>0</v>
      </c>
      <c r="G24" s="6"/>
      <c r="H24" s="6"/>
      <c r="I24" s="6"/>
    </row>
    <row r="25" spans="1:9" x14ac:dyDescent="0.25">
      <c r="A25" s="2">
        <f t="shared" si="0"/>
        <v>24</v>
      </c>
      <c r="B25" s="3"/>
      <c r="C25" s="3"/>
      <c r="D25" s="3"/>
      <c r="E25" s="3"/>
      <c r="F25" s="11">
        <f>(C25/Cap!$B$1)*100</f>
        <v>0</v>
      </c>
      <c r="G25" s="6"/>
      <c r="H25" s="6"/>
      <c r="I25" s="6"/>
    </row>
    <row r="26" spans="1:9" x14ac:dyDescent="0.25">
      <c r="A26" s="2">
        <f t="shared" si="0"/>
        <v>25</v>
      </c>
      <c r="B26" s="3"/>
      <c r="C26" s="3"/>
      <c r="D26" s="3"/>
      <c r="E26" s="3"/>
      <c r="F26" s="11">
        <f>(C26/Cap!$B$1)*100</f>
        <v>0</v>
      </c>
      <c r="G26" s="6"/>
      <c r="H26" s="6"/>
      <c r="I26" s="6"/>
    </row>
    <row r="27" spans="1:9" x14ac:dyDescent="0.25">
      <c r="A27" s="6"/>
      <c r="B27" s="9" t="s">
        <v>21</v>
      </c>
      <c r="C27" s="7" t="s">
        <v>203</v>
      </c>
      <c r="D27" s="6"/>
      <c r="E27" s="6"/>
      <c r="F27" s="6"/>
      <c r="G27" s="6"/>
      <c r="H27" s="6"/>
      <c r="I27" s="6"/>
    </row>
    <row r="28" spans="1:9" x14ac:dyDescent="0.25">
      <c r="A28" s="6"/>
      <c r="B28" s="9" t="s">
        <v>32</v>
      </c>
      <c r="C28" s="7"/>
      <c r="D28" s="6"/>
      <c r="E28" s="6"/>
      <c r="F28" s="6"/>
      <c r="G28" s="6"/>
      <c r="H28" s="6"/>
      <c r="I28" s="6"/>
    </row>
    <row r="29" spans="1:9" x14ac:dyDescent="0.25">
      <c r="A29" s="6"/>
      <c r="B29" s="6" t="s">
        <v>200</v>
      </c>
      <c r="C29" s="7">
        <v>466913</v>
      </c>
      <c r="D29" s="6"/>
      <c r="E29" s="6"/>
      <c r="F29" s="6"/>
      <c r="G29" s="6"/>
      <c r="H29" s="6"/>
      <c r="I29" s="6"/>
    </row>
    <row r="30" spans="1:9" x14ac:dyDescent="0.25">
      <c r="A30" s="6"/>
      <c r="B30" s="6" t="s">
        <v>201</v>
      </c>
      <c r="C30" s="7">
        <v>289133</v>
      </c>
      <c r="D30" s="6"/>
      <c r="E30" s="6"/>
      <c r="F30" s="6"/>
      <c r="G30" s="6"/>
      <c r="H30" s="6"/>
      <c r="I30" s="6"/>
    </row>
    <row r="31" spans="1:9" x14ac:dyDescent="0.25">
      <c r="A31" s="6"/>
      <c r="B31" s="6" t="s">
        <v>202</v>
      </c>
      <c r="C31" s="7">
        <v>270000</v>
      </c>
      <c r="D31" s="6"/>
      <c r="E31" s="6"/>
      <c r="F31" s="6"/>
      <c r="G31" s="6"/>
      <c r="H31" s="6"/>
      <c r="I31" s="6"/>
    </row>
    <row r="32" spans="1:9" x14ac:dyDescent="0.25">
      <c r="A32" s="6"/>
      <c r="B32" s="6"/>
      <c r="C32" s="7"/>
      <c r="D32" s="6"/>
      <c r="E32" s="6"/>
      <c r="F32" s="6"/>
      <c r="G32" s="6"/>
      <c r="H32" s="6"/>
      <c r="I32" s="6"/>
    </row>
    <row r="33" spans="1:9" x14ac:dyDescent="0.25">
      <c r="A33" s="6"/>
      <c r="B33" s="6"/>
      <c r="C33" s="7"/>
      <c r="D33" s="6"/>
      <c r="E33" s="6"/>
      <c r="F33" s="6"/>
      <c r="G33" s="6"/>
      <c r="H33" s="6"/>
      <c r="I33" s="6"/>
    </row>
    <row r="34" spans="1:9" x14ac:dyDescent="0.25">
      <c r="A34" s="6"/>
      <c r="B34" s="6"/>
      <c r="C34" s="7"/>
      <c r="D34" s="6"/>
      <c r="E34" s="6"/>
      <c r="F34" s="6"/>
      <c r="G34" s="6"/>
      <c r="H34" s="6"/>
      <c r="I34" s="6"/>
    </row>
    <row r="35" spans="1:9" x14ac:dyDescent="0.25">
      <c r="A35" s="6"/>
      <c r="B35" s="6"/>
      <c r="C35" s="6"/>
      <c r="D35" s="6"/>
      <c r="E35" s="6"/>
      <c r="F35" s="6"/>
      <c r="G35" s="6"/>
      <c r="I35" s="6"/>
    </row>
  </sheetData>
  <conditionalFormatting sqref="H4">
    <cfRule type="colorScale" priority="1">
      <colorScale>
        <cfvo type="min"/>
        <cfvo type="max"/>
        <color rgb="FF63BE7B"/>
        <color rgb="FFFCFCFF"/>
      </colorScale>
    </cfRule>
  </conditionalFormatting>
  <pageMargins left="0.7" right="0.7" top="0.75" bottom="0.75" header="0.3" footer="0.3"/>
  <ignoredErrors>
    <ignoredError sqref="H2:H3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161AF-BB48-4A17-8E1D-D4AC4D24747E}">
  <sheetPr>
    <tabColor rgb="FFCCFFCC"/>
  </sheetPr>
  <dimension ref="A1:I35"/>
  <sheetViews>
    <sheetView workbookViewId="0"/>
  </sheetViews>
  <sheetFormatPr baseColWidth="10" defaultColWidth="0" defaultRowHeight="15" zeroHeight="1" x14ac:dyDescent="0.25"/>
  <cols>
    <col min="1" max="1" width="4.7109375" customWidth="1"/>
    <col min="2" max="2" width="30.7109375" customWidth="1"/>
    <col min="3" max="4" width="20.7109375" customWidth="1"/>
    <col min="5" max="6" width="15.7109375" customWidth="1"/>
    <col min="7" max="7" width="22.28515625" bestFit="1" customWidth="1"/>
    <col min="8" max="8" width="11.42578125" customWidth="1"/>
    <col min="9" max="9" width="0" hidden="1" customWidth="1"/>
    <col min="10" max="16384" width="11.42578125" hidden="1"/>
  </cols>
  <sheetData>
    <row r="1" spans="1:9" x14ac:dyDescent="0.25">
      <c r="A1" s="4" t="s">
        <v>28</v>
      </c>
      <c r="B1" s="5" t="s">
        <v>0</v>
      </c>
      <c r="C1" s="4">
        <v>2026</v>
      </c>
      <c r="D1" s="4" t="s">
        <v>1</v>
      </c>
      <c r="E1" s="4" t="s">
        <v>29</v>
      </c>
      <c r="F1" s="4" t="s">
        <v>304</v>
      </c>
      <c r="G1" s="6" t="s">
        <v>27</v>
      </c>
      <c r="H1" s="7">
        <f>Cap!B1-Liberty!H2</f>
        <v>6356490</v>
      </c>
      <c r="I1" s="6"/>
    </row>
    <row r="2" spans="1:9" x14ac:dyDescent="0.25">
      <c r="A2" s="2">
        <v>1</v>
      </c>
      <c r="B2" s="3" t="s">
        <v>2</v>
      </c>
      <c r="C2" s="2">
        <v>350000</v>
      </c>
      <c r="D2" s="2"/>
      <c r="E2" s="2" t="s">
        <v>30</v>
      </c>
      <c r="F2" s="11">
        <f>(C2/Cap!$B$1)*100</f>
        <v>5</v>
      </c>
      <c r="G2" s="6" t="s">
        <v>37</v>
      </c>
      <c r="H2" s="7" cm="1">
        <f t="array" ref="H2">SUM(SUMIFS(C1:C24, E1:E24, {"U";"V";"Rookie Scale"}))</f>
        <v>643510</v>
      </c>
      <c r="I2" s="6"/>
    </row>
    <row r="3" spans="1:9" x14ac:dyDescent="0.25">
      <c r="A3" s="2">
        <f>A2+1</f>
        <v>2</v>
      </c>
      <c r="B3" s="3" t="s">
        <v>3</v>
      </c>
      <c r="C3" s="2">
        <v>293510</v>
      </c>
      <c r="D3" s="2"/>
      <c r="E3" s="2" t="s">
        <v>30</v>
      </c>
      <c r="F3" s="11">
        <f>(C3/Cap!$B$1)*100</f>
        <v>4.1930000000000005</v>
      </c>
      <c r="G3" s="6" t="s">
        <v>33</v>
      </c>
      <c r="H3" s="7" cm="1">
        <f t="array" ref="H3">SUM(SUMIFS(C1:C24, E1:E24, {"V";"Rookie Scale"}))</f>
        <v>0</v>
      </c>
      <c r="I3" s="6"/>
    </row>
    <row r="4" spans="1:9" x14ac:dyDescent="0.25">
      <c r="A4" s="2">
        <f t="shared" ref="A4:A26" si="0">A3+1</f>
        <v>3</v>
      </c>
      <c r="B4" s="3" t="s">
        <v>4</v>
      </c>
      <c r="C4" s="2">
        <v>270000</v>
      </c>
      <c r="D4" s="2"/>
      <c r="E4" s="2" t="s">
        <v>31</v>
      </c>
      <c r="F4" s="11">
        <f>(C4/Cap!$B$1)*100</f>
        <v>3.8571428571428568</v>
      </c>
      <c r="G4" s="8" t="s">
        <v>35</v>
      </c>
      <c r="H4" s="7" cm="1">
        <f t="array" ref="H4">SUM(COUNTIF(E2:E26,{"U";"V";"Rookie Scale"}))</f>
        <v>2</v>
      </c>
      <c r="I4" s="6"/>
    </row>
    <row r="5" spans="1:9" x14ac:dyDescent="0.25">
      <c r="A5" s="2">
        <f t="shared" si="0"/>
        <v>4</v>
      </c>
      <c r="B5" s="3" t="s">
        <v>5</v>
      </c>
      <c r="C5" s="2">
        <v>270000</v>
      </c>
      <c r="D5" s="2"/>
      <c r="E5" s="2" t="s">
        <v>31</v>
      </c>
      <c r="F5" s="11">
        <f>(C5/Cap!$B$1)*100</f>
        <v>3.8571428571428568</v>
      </c>
      <c r="G5" s="8" t="s">
        <v>36</v>
      </c>
      <c r="H5" s="7" cm="1">
        <f t="array" ref="H5">SUM(COUNTIF(E2:E26,{"V";"Rookie Scale"}))</f>
        <v>0</v>
      </c>
      <c r="I5" s="6"/>
    </row>
    <row r="6" spans="1:9" x14ac:dyDescent="0.25">
      <c r="A6" s="2">
        <f t="shared" si="0"/>
        <v>5</v>
      </c>
      <c r="B6" s="3" t="s">
        <v>6</v>
      </c>
      <c r="C6" s="2">
        <v>270000</v>
      </c>
      <c r="D6" s="2"/>
      <c r="E6" s="2" t="s">
        <v>31</v>
      </c>
      <c r="F6" s="11">
        <f>(C6/Cap!$B$1)*100</f>
        <v>3.8571428571428568</v>
      </c>
      <c r="G6" s="8" t="s">
        <v>60</v>
      </c>
      <c r="H6" s="10">
        <f>H1/(Cap!B3-Liberty!H4)</f>
        <v>635649</v>
      </c>
      <c r="I6" s="6"/>
    </row>
    <row r="7" spans="1:9" x14ac:dyDescent="0.25">
      <c r="A7" s="2">
        <f t="shared" si="0"/>
        <v>6</v>
      </c>
      <c r="B7" s="3" t="s">
        <v>7</v>
      </c>
      <c r="C7" s="2" t="s">
        <v>8</v>
      </c>
      <c r="D7" s="2"/>
      <c r="E7" s="2"/>
      <c r="F7" s="11" t="e">
        <f>(C7/Cap!$B$1)*100</f>
        <v>#VALUE!</v>
      </c>
      <c r="G7" s="8" t="s">
        <v>304</v>
      </c>
      <c r="H7" s="12">
        <f>(H2/Cap!$B$1)*100</f>
        <v>9.1929999999999996</v>
      </c>
      <c r="I7" s="6"/>
    </row>
    <row r="8" spans="1:9" x14ac:dyDescent="0.25">
      <c r="A8" s="2">
        <f t="shared" si="0"/>
        <v>7</v>
      </c>
      <c r="B8" s="3" t="s">
        <v>9</v>
      </c>
      <c r="C8" s="2" t="s">
        <v>10</v>
      </c>
      <c r="D8" s="2"/>
      <c r="E8" s="2"/>
      <c r="F8" s="11" t="e">
        <f>(C8/Cap!$B$1)*100</f>
        <v>#VALUE!</v>
      </c>
      <c r="G8" s="6"/>
      <c r="H8" s="6"/>
      <c r="I8" s="6"/>
    </row>
    <row r="9" spans="1:9" x14ac:dyDescent="0.25">
      <c r="A9" s="2">
        <f t="shared" si="0"/>
        <v>8</v>
      </c>
      <c r="B9" s="3" t="s">
        <v>11</v>
      </c>
      <c r="C9" s="2" t="s">
        <v>10</v>
      </c>
      <c r="D9" s="2" t="s">
        <v>12</v>
      </c>
      <c r="E9" s="2"/>
      <c r="F9" s="11" t="e">
        <f>(C9/Cap!$B$1)*100</f>
        <v>#VALUE!</v>
      </c>
      <c r="G9" s="6"/>
      <c r="H9" s="6"/>
      <c r="I9" s="6"/>
    </row>
    <row r="10" spans="1:9" x14ac:dyDescent="0.25">
      <c r="A10" s="2">
        <f t="shared" si="0"/>
        <v>9</v>
      </c>
      <c r="B10" s="3" t="s">
        <v>13</v>
      </c>
      <c r="C10" s="2" t="s">
        <v>10</v>
      </c>
      <c r="D10" s="2"/>
      <c r="E10" s="2"/>
      <c r="F10" s="11" t="e">
        <f>(C10/Cap!$B$1)*100</f>
        <v>#VALUE!</v>
      </c>
      <c r="G10" s="6"/>
      <c r="H10" s="6"/>
      <c r="I10" s="6"/>
    </row>
    <row r="11" spans="1:9" x14ac:dyDescent="0.25">
      <c r="A11" s="2">
        <f t="shared" si="0"/>
        <v>10</v>
      </c>
      <c r="B11" s="3" t="s">
        <v>14</v>
      </c>
      <c r="C11" s="2" t="s">
        <v>10</v>
      </c>
      <c r="D11" s="2" t="s">
        <v>15</v>
      </c>
      <c r="E11" s="2"/>
      <c r="F11" s="11" t="e">
        <f>(C11/Cap!$B$1)*100</f>
        <v>#VALUE!</v>
      </c>
      <c r="G11" s="6"/>
      <c r="H11" s="6"/>
      <c r="I11" s="6"/>
    </row>
    <row r="12" spans="1:9" x14ac:dyDescent="0.25">
      <c r="A12" s="2">
        <f t="shared" si="0"/>
        <v>11</v>
      </c>
      <c r="B12" s="3" t="s">
        <v>16</v>
      </c>
      <c r="C12" s="2" t="s">
        <v>17</v>
      </c>
      <c r="D12" s="2"/>
      <c r="E12" s="2"/>
      <c r="F12" s="11" t="e">
        <f>(C12/Cap!$B$1)*100</f>
        <v>#VALUE!</v>
      </c>
      <c r="G12" s="6"/>
      <c r="H12" s="6"/>
      <c r="I12" s="6"/>
    </row>
    <row r="13" spans="1:9" x14ac:dyDescent="0.25">
      <c r="A13" s="2">
        <f t="shared" si="0"/>
        <v>12</v>
      </c>
      <c r="B13" s="3" t="s">
        <v>26</v>
      </c>
      <c r="C13" s="2" t="s">
        <v>17</v>
      </c>
      <c r="D13" s="2"/>
      <c r="E13" s="2"/>
      <c r="F13" s="11" t="e">
        <f>(C13/Cap!$B$1)*100</f>
        <v>#VALUE!</v>
      </c>
      <c r="G13" s="6"/>
      <c r="H13" s="6"/>
      <c r="I13" s="6"/>
    </row>
    <row r="14" spans="1:9" x14ac:dyDescent="0.25">
      <c r="A14" s="2">
        <f t="shared" si="0"/>
        <v>13</v>
      </c>
      <c r="B14" s="3" t="s">
        <v>18</v>
      </c>
      <c r="C14" s="2" t="s">
        <v>19</v>
      </c>
      <c r="D14" s="2"/>
      <c r="E14" s="2"/>
      <c r="F14" s="11" t="e">
        <f>(C14/Cap!$B$1)*100</f>
        <v>#VALUE!</v>
      </c>
      <c r="G14" s="6"/>
      <c r="H14" s="6"/>
      <c r="I14" s="6"/>
    </row>
    <row r="15" spans="1:9" x14ac:dyDescent="0.25">
      <c r="A15" s="2">
        <f t="shared" si="0"/>
        <v>14</v>
      </c>
      <c r="B15" s="3" t="s">
        <v>20</v>
      </c>
      <c r="C15" s="2" t="s">
        <v>19</v>
      </c>
      <c r="D15" s="2"/>
      <c r="E15" s="2"/>
      <c r="F15" s="11" t="e">
        <f>(C15/Cap!$B$1)*100</f>
        <v>#VALUE!</v>
      </c>
      <c r="G15" s="6"/>
      <c r="H15" s="6"/>
      <c r="I15" s="6"/>
    </row>
    <row r="16" spans="1:9" x14ac:dyDescent="0.25">
      <c r="A16" s="2">
        <f t="shared" si="0"/>
        <v>15</v>
      </c>
      <c r="B16" s="3"/>
      <c r="C16" s="2"/>
      <c r="D16" s="2"/>
      <c r="E16" s="3"/>
      <c r="F16" s="11">
        <f>(C16/Cap!$B$1)*100</f>
        <v>0</v>
      </c>
      <c r="G16" s="6"/>
      <c r="H16" s="6"/>
      <c r="I16" s="6"/>
    </row>
    <row r="17" spans="1:9" x14ac:dyDescent="0.25">
      <c r="A17" s="2">
        <f t="shared" si="0"/>
        <v>16</v>
      </c>
      <c r="B17" s="3"/>
      <c r="C17" s="2"/>
      <c r="D17" s="2"/>
      <c r="E17" s="3"/>
      <c r="F17" s="11">
        <f>(C17/Cap!$B$1)*100</f>
        <v>0</v>
      </c>
      <c r="G17" s="6"/>
      <c r="H17" s="6"/>
      <c r="I17" s="6"/>
    </row>
    <row r="18" spans="1:9" x14ac:dyDescent="0.25">
      <c r="A18" s="2">
        <f t="shared" si="0"/>
        <v>17</v>
      </c>
      <c r="B18" s="3"/>
      <c r="C18" s="2"/>
      <c r="D18" s="2"/>
      <c r="E18" s="3"/>
      <c r="F18" s="11">
        <f>(C18/Cap!$B$1)*100</f>
        <v>0</v>
      </c>
      <c r="G18" s="6"/>
      <c r="H18" s="6"/>
      <c r="I18" s="6"/>
    </row>
    <row r="19" spans="1:9" x14ac:dyDescent="0.25">
      <c r="A19" s="2">
        <f t="shared" si="0"/>
        <v>18</v>
      </c>
      <c r="B19" s="3"/>
      <c r="C19" s="2"/>
      <c r="D19" s="2"/>
      <c r="E19" s="3"/>
      <c r="F19" s="11">
        <f>(C19/Cap!$B$1)*100</f>
        <v>0</v>
      </c>
      <c r="G19" s="6"/>
      <c r="H19" s="6"/>
      <c r="I19" s="6"/>
    </row>
    <row r="20" spans="1:9" x14ac:dyDescent="0.25">
      <c r="A20" s="2">
        <f t="shared" si="0"/>
        <v>19</v>
      </c>
      <c r="B20" s="3"/>
      <c r="C20" s="2"/>
      <c r="D20" s="2"/>
      <c r="E20" s="3"/>
      <c r="F20" s="11">
        <f>(C20/Cap!$B$1)*100</f>
        <v>0</v>
      </c>
      <c r="G20" s="6"/>
      <c r="H20" s="6"/>
      <c r="I20" s="6"/>
    </row>
    <row r="21" spans="1:9" x14ac:dyDescent="0.25">
      <c r="A21" s="2">
        <f t="shared" si="0"/>
        <v>20</v>
      </c>
      <c r="B21" s="3"/>
      <c r="C21" s="2"/>
      <c r="D21" s="2"/>
      <c r="E21" s="3"/>
      <c r="F21" s="11">
        <f>(C21/Cap!$B$1)*100</f>
        <v>0</v>
      </c>
      <c r="G21" s="6"/>
      <c r="H21" s="6"/>
      <c r="I21" s="6"/>
    </row>
    <row r="22" spans="1:9" x14ac:dyDescent="0.25">
      <c r="A22" s="2">
        <f t="shared" si="0"/>
        <v>21</v>
      </c>
      <c r="B22" s="3"/>
      <c r="C22" s="3"/>
      <c r="D22" s="3"/>
      <c r="E22" s="3"/>
      <c r="F22" s="11">
        <f>(C22/Cap!$B$1)*100</f>
        <v>0</v>
      </c>
      <c r="G22" s="6"/>
      <c r="H22" s="6"/>
      <c r="I22" s="6"/>
    </row>
    <row r="23" spans="1:9" x14ac:dyDescent="0.25">
      <c r="A23" s="2">
        <f t="shared" si="0"/>
        <v>22</v>
      </c>
      <c r="B23" s="3"/>
      <c r="C23" s="3"/>
      <c r="D23" s="3"/>
      <c r="E23" s="3"/>
      <c r="F23" s="11">
        <f>(C23/Cap!$B$1)*100</f>
        <v>0</v>
      </c>
      <c r="G23" s="6"/>
      <c r="H23" s="6"/>
      <c r="I23" s="6"/>
    </row>
    <row r="24" spans="1:9" x14ac:dyDescent="0.25">
      <c r="A24" s="2">
        <f>A23+1</f>
        <v>23</v>
      </c>
      <c r="B24" s="3"/>
      <c r="C24" s="3"/>
      <c r="D24" s="3"/>
      <c r="E24" s="3"/>
      <c r="F24" s="11">
        <f>(C24/Cap!$B$1)*100</f>
        <v>0</v>
      </c>
      <c r="G24" s="6"/>
      <c r="H24" s="6"/>
      <c r="I24" s="6"/>
    </row>
    <row r="25" spans="1:9" x14ac:dyDescent="0.25">
      <c r="A25" s="2">
        <f t="shared" si="0"/>
        <v>24</v>
      </c>
      <c r="B25" s="3"/>
      <c r="C25" s="3"/>
      <c r="D25" s="3"/>
      <c r="E25" s="3"/>
      <c r="F25" s="11">
        <f>(C25/Cap!$B$1)*100</f>
        <v>0</v>
      </c>
      <c r="G25" s="6"/>
      <c r="H25" s="6"/>
      <c r="I25" s="6"/>
    </row>
    <row r="26" spans="1:9" x14ac:dyDescent="0.25">
      <c r="A26" s="2">
        <f t="shared" si="0"/>
        <v>25</v>
      </c>
      <c r="B26" s="3"/>
      <c r="C26" s="3"/>
      <c r="D26" s="3"/>
      <c r="E26" s="3"/>
      <c r="F26" s="11">
        <f>(C26/Cap!$B$1)*100</f>
        <v>0</v>
      </c>
      <c r="G26" s="6"/>
      <c r="H26" s="6"/>
      <c r="I26" s="6"/>
    </row>
    <row r="27" spans="1:9" x14ac:dyDescent="0.25">
      <c r="A27" s="6"/>
      <c r="B27" s="9" t="s">
        <v>21</v>
      </c>
      <c r="C27" s="7" t="s">
        <v>22</v>
      </c>
      <c r="D27" s="6"/>
      <c r="E27" s="6"/>
      <c r="F27" s="6"/>
      <c r="G27" s="6"/>
      <c r="H27" s="6"/>
      <c r="I27" s="6"/>
    </row>
    <row r="28" spans="1:9" x14ac:dyDescent="0.25">
      <c r="A28" s="6"/>
      <c r="B28" s="9" t="s">
        <v>32</v>
      </c>
      <c r="C28" s="7"/>
      <c r="D28" s="6"/>
      <c r="E28" s="6"/>
      <c r="F28" s="6"/>
      <c r="G28" s="6"/>
      <c r="H28" s="6"/>
      <c r="I28" s="6"/>
    </row>
    <row r="29" spans="1:9" x14ac:dyDescent="0.25">
      <c r="A29" s="6"/>
      <c r="B29" s="6" t="s">
        <v>23</v>
      </c>
      <c r="C29" s="7">
        <v>270000</v>
      </c>
      <c r="D29" s="6"/>
      <c r="E29" s="6"/>
      <c r="F29" s="6"/>
      <c r="G29" s="6"/>
      <c r="H29" s="6"/>
      <c r="I29" s="6"/>
    </row>
    <row r="30" spans="1:9" x14ac:dyDescent="0.25">
      <c r="A30" s="6"/>
      <c r="B30" s="6" t="s">
        <v>24</v>
      </c>
      <c r="C30" s="7">
        <v>270000</v>
      </c>
      <c r="D30" s="6"/>
      <c r="E30" s="6"/>
      <c r="F30" s="6"/>
      <c r="G30" s="6"/>
      <c r="H30" s="6"/>
      <c r="I30" s="6"/>
    </row>
    <row r="31" spans="1:9" x14ac:dyDescent="0.25">
      <c r="A31" s="6"/>
      <c r="B31" s="6"/>
      <c r="C31" s="7"/>
      <c r="D31" s="6"/>
      <c r="E31" s="6"/>
      <c r="F31" s="6"/>
      <c r="G31" s="6"/>
      <c r="H31" s="6"/>
      <c r="I31" s="6"/>
    </row>
    <row r="32" spans="1:9" x14ac:dyDescent="0.25">
      <c r="A32" s="6"/>
      <c r="B32" s="6"/>
      <c r="C32" s="7"/>
      <c r="D32" s="6"/>
      <c r="E32" s="6"/>
      <c r="F32" s="6"/>
      <c r="G32" s="6"/>
      <c r="H32" s="6"/>
      <c r="I32" s="6"/>
    </row>
    <row r="33" spans="1:9" x14ac:dyDescent="0.25">
      <c r="A33" s="6"/>
      <c r="B33" s="6"/>
      <c r="C33" s="7"/>
      <c r="D33" s="6"/>
      <c r="E33" s="6"/>
      <c r="F33" s="6"/>
      <c r="G33" s="6"/>
      <c r="H33" s="6"/>
      <c r="I33" s="6"/>
    </row>
    <row r="34" spans="1:9" x14ac:dyDescent="0.25">
      <c r="A34" s="6"/>
      <c r="B34" s="6"/>
      <c r="C34" s="7"/>
      <c r="D34" s="6"/>
      <c r="E34" s="6"/>
      <c r="F34" s="6"/>
      <c r="G34" s="6"/>
      <c r="H34" s="6"/>
      <c r="I34" s="6"/>
    </row>
    <row r="35" spans="1:9" x14ac:dyDescent="0.25">
      <c r="A35" s="6"/>
      <c r="B35" s="6"/>
      <c r="C35" s="6"/>
      <c r="D35" s="6"/>
      <c r="E35" s="6"/>
      <c r="F35" s="6"/>
      <c r="G35" s="6"/>
      <c r="I35" s="6"/>
    </row>
  </sheetData>
  <conditionalFormatting sqref="H4">
    <cfRule type="colorScale" priority="1">
      <colorScale>
        <cfvo type="min"/>
        <cfvo type="max"/>
        <color rgb="FF63BE7B"/>
        <color rgb="FFFCFCFF"/>
      </colorScale>
    </cfRule>
  </conditionalFormatting>
  <pageMargins left="0.7" right="0.7" top="0.75" bottom="0.75" header="0.3" footer="0.3"/>
  <ignoredErrors>
    <ignoredError sqref="F7:F15" evalError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3CFF0-88A1-4E6B-A6D2-1A165EABA335}">
  <sheetPr>
    <tabColor theme="5" tint="-0.249977111117893"/>
  </sheetPr>
  <dimension ref="A1:I35"/>
  <sheetViews>
    <sheetView workbookViewId="0"/>
  </sheetViews>
  <sheetFormatPr baseColWidth="10" defaultColWidth="0" defaultRowHeight="15" customHeight="1" zeroHeight="1" x14ac:dyDescent="0.25"/>
  <cols>
    <col min="1" max="1" width="4.7109375" customWidth="1"/>
    <col min="2" max="2" width="30.7109375" customWidth="1"/>
    <col min="3" max="4" width="20.7109375" customWidth="1"/>
    <col min="5" max="6" width="15.7109375" customWidth="1"/>
    <col min="7" max="7" width="22.28515625" bestFit="1" customWidth="1"/>
    <col min="8" max="8" width="11.42578125" customWidth="1"/>
    <col min="9" max="9" width="0" hidden="1" customWidth="1"/>
    <col min="10" max="16384" width="11.42578125" hidden="1"/>
  </cols>
  <sheetData>
    <row r="1" spans="1:9" x14ac:dyDescent="0.25">
      <c r="A1" s="4" t="s">
        <v>28</v>
      </c>
      <c r="B1" s="5" t="s">
        <v>0</v>
      </c>
      <c r="C1" s="4">
        <v>2026</v>
      </c>
      <c r="D1" s="4" t="s">
        <v>1</v>
      </c>
      <c r="E1" s="4" t="s">
        <v>29</v>
      </c>
      <c r="F1" s="4" t="s">
        <v>304</v>
      </c>
      <c r="G1" s="6" t="s">
        <v>27</v>
      </c>
      <c r="H1" s="7">
        <f>Cap!B1-Mercury!H2</f>
        <v>2587500</v>
      </c>
      <c r="I1" s="6"/>
    </row>
    <row r="2" spans="1:9" x14ac:dyDescent="0.25">
      <c r="A2" s="2">
        <v>1</v>
      </c>
      <c r="B2" s="3" t="s">
        <v>204</v>
      </c>
      <c r="C2" s="2">
        <v>1200000</v>
      </c>
      <c r="D2" s="2" t="s">
        <v>12</v>
      </c>
      <c r="E2" s="2" t="s">
        <v>34</v>
      </c>
      <c r="F2" s="11">
        <f>(C2/Cap!$B$1)*100</f>
        <v>17.142857142857142</v>
      </c>
      <c r="G2" s="6" t="s">
        <v>37</v>
      </c>
      <c r="H2" s="7" cm="1">
        <f t="array" ref="H2">SUM(SUMIFS(C2:C26, E2:E26, {"U";"V";"Rookie Scale"}))</f>
        <v>4412500</v>
      </c>
      <c r="I2" s="6"/>
    </row>
    <row r="3" spans="1:9" x14ac:dyDescent="0.25">
      <c r="A3" s="2">
        <f>A2+1</f>
        <v>2</v>
      </c>
      <c r="B3" s="3" t="s">
        <v>205</v>
      </c>
      <c r="C3" s="2">
        <v>1200000</v>
      </c>
      <c r="D3" s="2">
        <v>2025</v>
      </c>
      <c r="E3" s="2" t="s">
        <v>34</v>
      </c>
      <c r="F3" s="11">
        <f>(C3/Cap!$B$1)*100</f>
        <v>17.142857142857142</v>
      </c>
      <c r="G3" s="6" t="s">
        <v>33</v>
      </c>
      <c r="H3" s="7" cm="1">
        <f t="array" ref="H3">SUM(SUMIFS(C2:C26, E2:E26, {"V";"Rookie Scale"}))</f>
        <v>3912500</v>
      </c>
      <c r="I3" s="6"/>
    </row>
    <row r="4" spans="1:9" x14ac:dyDescent="0.25">
      <c r="A4" s="2">
        <f t="shared" ref="A4:A26" si="0">A3+1</f>
        <v>3</v>
      </c>
      <c r="B4" s="3" t="s">
        <v>206</v>
      </c>
      <c r="C4" s="2">
        <v>735000</v>
      </c>
      <c r="D4" s="2"/>
      <c r="E4" s="2" t="s">
        <v>34</v>
      </c>
      <c r="F4" s="11">
        <f>(C4/Cap!$B$1)*100</f>
        <v>10.5</v>
      </c>
      <c r="G4" s="8" t="s">
        <v>35</v>
      </c>
      <c r="H4" s="7" cm="1">
        <f t="array" ref="H4">SUM(COUNTIF(E2:E26,{"U";"V";"Rookie Scale"}))</f>
        <v>6</v>
      </c>
      <c r="I4" s="6"/>
    </row>
    <row r="5" spans="1:9" x14ac:dyDescent="0.25">
      <c r="A5" s="2">
        <f t="shared" si="0"/>
        <v>4</v>
      </c>
      <c r="B5" s="3" t="s">
        <v>226</v>
      </c>
      <c r="C5" s="2">
        <v>500000</v>
      </c>
      <c r="D5" s="2"/>
      <c r="E5" s="2" t="s">
        <v>34</v>
      </c>
      <c r="F5" s="11">
        <f>(C5/Cap!$B$1)*100</f>
        <v>7.1428571428571423</v>
      </c>
      <c r="G5" s="8" t="s">
        <v>36</v>
      </c>
      <c r="H5" s="7" cm="1">
        <f t="array" ref="H5">SUM(COUNTIF(E2:E26,{"V";"Rookie Scale"}))</f>
        <v>5</v>
      </c>
      <c r="I5" s="6"/>
    </row>
    <row r="6" spans="1:9" x14ac:dyDescent="0.25">
      <c r="A6" s="2">
        <f t="shared" si="0"/>
        <v>5</v>
      </c>
      <c r="B6" s="3" t="s">
        <v>207</v>
      </c>
      <c r="C6" s="2">
        <v>500000</v>
      </c>
      <c r="D6" s="2" t="s">
        <v>208</v>
      </c>
      <c r="E6" s="2" t="s">
        <v>30</v>
      </c>
      <c r="F6" s="11">
        <f>(C6/Cap!$B$1)*100</f>
        <v>7.1428571428571423</v>
      </c>
      <c r="G6" s="8" t="s">
        <v>60</v>
      </c>
      <c r="H6" s="10">
        <f>H1/(Cap!B3-Mercury!H4)</f>
        <v>431250</v>
      </c>
      <c r="I6" s="6"/>
    </row>
    <row r="7" spans="1:9" x14ac:dyDescent="0.25">
      <c r="A7" s="2">
        <f t="shared" si="0"/>
        <v>6</v>
      </c>
      <c r="B7" s="3" t="s">
        <v>209</v>
      </c>
      <c r="C7" s="2">
        <v>277500</v>
      </c>
      <c r="D7" s="2"/>
      <c r="E7" s="2" t="s">
        <v>34</v>
      </c>
      <c r="F7" s="11">
        <f>(C7/Cap!$B$1)*100</f>
        <v>3.964285714285714</v>
      </c>
      <c r="G7" s="8" t="s">
        <v>304</v>
      </c>
      <c r="H7" s="12">
        <f>(H2/Cap!$B$1)*100</f>
        <v>63.035714285714285</v>
      </c>
      <c r="I7" s="6"/>
    </row>
    <row r="8" spans="1:9" x14ac:dyDescent="0.25">
      <c r="A8" s="2">
        <f t="shared" si="0"/>
        <v>7</v>
      </c>
      <c r="B8" s="3" t="s">
        <v>210</v>
      </c>
      <c r="C8" s="2">
        <v>277500</v>
      </c>
      <c r="D8" s="2"/>
      <c r="E8" s="2" t="s">
        <v>31</v>
      </c>
      <c r="F8" s="11">
        <f>(C8/Cap!$B$1)*100</f>
        <v>3.964285714285714</v>
      </c>
      <c r="G8" s="6"/>
      <c r="H8" s="6"/>
      <c r="I8" s="6"/>
    </row>
    <row r="9" spans="1:9" x14ac:dyDescent="0.25">
      <c r="A9" s="2">
        <f t="shared" si="0"/>
        <v>8</v>
      </c>
      <c r="B9" s="3" t="s">
        <v>211</v>
      </c>
      <c r="C9" s="2">
        <v>277500</v>
      </c>
      <c r="D9" s="2"/>
      <c r="E9" s="2" t="s">
        <v>31</v>
      </c>
      <c r="F9" s="11">
        <f>(C9/Cap!$B$1)*100</f>
        <v>3.964285714285714</v>
      </c>
      <c r="G9" s="6"/>
      <c r="H9" s="6"/>
      <c r="I9" s="6"/>
    </row>
    <row r="10" spans="1:9" x14ac:dyDescent="0.25">
      <c r="A10" s="2">
        <f t="shared" si="0"/>
        <v>9</v>
      </c>
      <c r="B10" s="3" t="s">
        <v>212</v>
      </c>
      <c r="C10" s="2">
        <v>277500</v>
      </c>
      <c r="D10" s="2"/>
      <c r="E10" s="2" t="s">
        <v>31</v>
      </c>
      <c r="F10" s="11">
        <f>(C10/Cap!$B$1)*100</f>
        <v>3.964285714285714</v>
      </c>
      <c r="G10" s="6"/>
      <c r="H10" s="6"/>
      <c r="I10" s="6"/>
    </row>
    <row r="11" spans="1:9" x14ac:dyDescent="0.25">
      <c r="A11" s="2">
        <f t="shared" si="0"/>
        <v>10</v>
      </c>
      <c r="B11" s="3" t="s">
        <v>213</v>
      </c>
      <c r="C11" s="2">
        <v>277500</v>
      </c>
      <c r="D11" s="2"/>
      <c r="E11" s="2" t="s">
        <v>31</v>
      </c>
      <c r="F11" s="11">
        <f>(C11/Cap!$B$1)*100</f>
        <v>3.964285714285714</v>
      </c>
      <c r="G11" s="6"/>
      <c r="H11" s="6"/>
      <c r="I11" s="6"/>
    </row>
    <row r="12" spans="1:9" x14ac:dyDescent="0.25">
      <c r="A12" s="2">
        <f t="shared" si="0"/>
        <v>11</v>
      </c>
      <c r="B12" s="3" t="s">
        <v>214</v>
      </c>
      <c r="C12" s="2">
        <v>270000</v>
      </c>
      <c r="D12" s="2"/>
      <c r="E12" s="2" t="s">
        <v>31</v>
      </c>
      <c r="F12" s="11">
        <f>(C12/Cap!$B$1)*100</f>
        <v>3.8571428571428568</v>
      </c>
      <c r="G12" s="6"/>
      <c r="H12" s="6"/>
      <c r="I12" s="6"/>
    </row>
    <row r="13" spans="1:9" x14ac:dyDescent="0.25">
      <c r="A13" s="2">
        <f t="shared" si="0"/>
        <v>12</v>
      </c>
      <c r="B13" s="3" t="s">
        <v>215</v>
      </c>
      <c r="C13" s="2">
        <v>270000</v>
      </c>
      <c r="D13" s="2"/>
      <c r="E13" s="2" t="s">
        <v>31</v>
      </c>
      <c r="F13" s="11">
        <f>(C13/Cap!$B$1)*100</f>
        <v>3.8571428571428568</v>
      </c>
      <c r="G13" s="6"/>
      <c r="H13" s="6"/>
      <c r="I13" s="6"/>
    </row>
    <row r="14" spans="1:9" x14ac:dyDescent="0.25">
      <c r="A14" s="2">
        <f t="shared" si="0"/>
        <v>13</v>
      </c>
      <c r="B14" s="3" t="s">
        <v>216</v>
      </c>
      <c r="C14" s="2">
        <v>270000</v>
      </c>
      <c r="D14" s="2"/>
      <c r="E14" s="2" t="s">
        <v>31</v>
      </c>
      <c r="F14" s="11">
        <f>(C14/Cap!$B$1)*100</f>
        <v>3.8571428571428568</v>
      </c>
      <c r="G14" s="6"/>
      <c r="H14" s="6"/>
      <c r="I14" s="6"/>
    </row>
    <row r="15" spans="1:9" x14ac:dyDescent="0.25">
      <c r="A15" s="2">
        <f t="shared" si="0"/>
        <v>14</v>
      </c>
      <c r="B15" s="3" t="s">
        <v>217</v>
      </c>
      <c r="C15" s="2">
        <v>270000</v>
      </c>
      <c r="D15" s="2"/>
      <c r="E15" s="2" t="s">
        <v>31</v>
      </c>
      <c r="F15" s="11">
        <f>(C15/Cap!$B$1)*100</f>
        <v>3.8571428571428568</v>
      </c>
      <c r="G15" s="6"/>
      <c r="H15" s="6"/>
      <c r="I15" s="6"/>
    </row>
    <row r="16" spans="1:9" x14ac:dyDescent="0.25">
      <c r="A16" s="2">
        <f t="shared" si="0"/>
        <v>15</v>
      </c>
      <c r="B16" s="3" t="s">
        <v>218</v>
      </c>
      <c r="C16" s="2">
        <v>270000</v>
      </c>
      <c r="D16" s="2"/>
      <c r="E16" s="2" t="s">
        <v>31</v>
      </c>
      <c r="F16" s="11">
        <f>(C16/Cap!$B$1)*100</f>
        <v>3.8571428571428568</v>
      </c>
      <c r="G16" s="6"/>
      <c r="H16" s="6"/>
      <c r="I16" s="6"/>
    </row>
    <row r="17" spans="1:9" x14ac:dyDescent="0.25">
      <c r="A17" s="2">
        <f t="shared" si="0"/>
        <v>16</v>
      </c>
      <c r="B17" s="3" t="s">
        <v>219</v>
      </c>
      <c r="C17" s="2" t="s">
        <v>10</v>
      </c>
      <c r="D17" s="2">
        <v>2025</v>
      </c>
      <c r="E17" s="3"/>
      <c r="F17" s="11" t="e">
        <f>(C17/Cap!$B$1)*100</f>
        <v>#VALUE!</v>
      </c>
      <c r="G17" s="6"/>
      <c r="H17" s="6"/>
      <c r="I17" s="6"/>
    </row>
    <row r="18" spans="1:9" x14ac:dyDescent="0.25">
      <c r="A18" s="2">
        <f t="shared" si="0"/>
        <v>17</v>
      </c>
      <c r="B18" s="3" t="s">
        <v>220</v>
      </c>
      <c r="C18" s="2" t="s">
        <v>17</v>
      </c>
      <c r="D18" s="2"/>
      <c r="E18" s="3"/>
      <c r="F18" s="11" t="e">
        <f>(C18/Cap!$B$1)*100</f>
        <v>#VALUE!</v>
      </c>
      <c r="G18" s="6"/>
      <c r="H18" s="6"/>
      <c r="I18" s="6"/>
    </row>
    <row r="19" spans="1:9" x14ac:dyDescent="0.25">
      <c r="A19" s="2">
        <f t="shared" si="0"/>
        <v>18</v>
      </c>
      <c r="B19" s="3" t="s">
        <v>221</v>
      </c>
      <c r="C19" s="2" t="s">
        <v>17</v>
      </c>
      <c r="D19" s="2"/>
      <c r="E19" s="3"/>
      <c r="F19" s="11" t="e">
        <f>(C19/Cap!$B$1)*100</f>
        <v>#VALUE!</v>
      </c>
      <c r="G19" s="6"/>
      <c r="H19" s="6"/>
      <c r="I19" s="6"/>
    </row>
    <row r="20" spans="1:9" x14ac:dyDescent="0.25">
      <c r="A20" s="2">
        <f t="shared" si="0"/>
        <v>19</v>
      </c>
      <c r="B20" s="3" t="s">
        <v>222</v>
      </c>
      <c r="C20" s="2" t="s">
        <v>17</v>
      </c>
      <c r="D20" s="2"/>
      <c r="E20" s="3"/>
      <c r="F20" s="11" t="e">
        <f>(C20/Cap!$B$1)*100</f>
        <v>#VALUE!</v>
      </c>
      <c r="G20" s="6"/>
      <c r="H20" s="6"/>
      <c r="I20" s="6"/>
    </row>
    <row r="21" spans="1:9" x14ac:dyDescent="0.25">
      <c r="A21" s="2">
        <f t="shared" si="0"/>
        <v>20</v>
      </c>
      <c r="B21" s="3" t="s">
        <v>223</v>
      </c>
      <c r="C21" s="2" t="s">
        <v>19</v>
      </c>
      <c r="D21" s="2"/>
      <c r="E21" s="3"/>
      <c r="F21" s="11" t="e">
        <f>(C21/Cap!$B$1)*100</f>
        <v>#VALUE!</v>
      </c>
      <c r="G21" s="6"/>
      <c r="H21" s="6"/>
      <c r="I21" s="6"/>
    </row>
    <row r="22" spans="1:9" x14ac:dyDescent="0.25">
      <c r="A22" s="2">
        <f t="shared" si="0"/>
        <v>21</v>
      </c>
      <c r="B22" s="3" t="s">
        <v>224</v>
      </c>
      <c r="C22" s="2" t="s">
        <v>19</v>
      </c>
      <c r="D22" s="3"/>
      <c r="E22" s="3"/>
      <c r="F22" s="11" t="e">
        <f>(C22/Cap!$B$1)*100</f>
        <v>#VALUE!</v>
      </c>
      <c r="G22" s="6"/>
      <c r="H22" s="6"/>
      <c r="I22" s="6"/>
    </row>
    <row r="23" spans="1:9" x14ac:dyDescent="0.25">
      <c r="A23" s="2">
        <f t="shared" si="0"/>
        <v>22</v>
      </c>
      <c r="B23" s="3" t="s">
        <v>225</v>
      </c>
      <c r="C23" s="2" t="s">
        <v>19</v>
      </c>
      <c r="D23" s="3"/>
      <c r="E23" s="3"/>
      <c r="F23" s="11" t="e">
        <f>(C23/Cap!$B$1)*100</f>
        <v>#VALUE!</v>
      </c>
      <c r="G23" s="6"/>
      <c r="H23" s="6"/>
      <c r="I23" s="6"/>
    </row>
    <row r="24" spans="1:9" x14ac:dyDescent="0.25">
      <c r="A24" s="2">
        <f>A23+1</f>
        <v>23</v>
      </c>
      <c r="B24" s="3"/>
      <c r="C24" s="3"/>
      <c r="D24" s="3"/>
      <c r="E24" s="3"/>
      <c r="F24" s="11">
        <f>(C24/Cap!$B$1)*100</f>
        <v>0</v>
      </c>
      <c r="G24" s="6"/>
      <c r="H24" s="6"/>
      <c r="I24" s="6"/>
    </row>
    <row r="25" spans="1:9" x14ac:dyDescent="0.25">
      <c r="A25" s="2">
        <f t="shared" si="0"/>
        <v>24</v>
      </c>
      <c r="B25" s="3"/>
      <c r="C25" s="3"/>
      <c r="D25" s="3"/>
      <c r="E25" s="3"/>
      <c r="F25" s="11">
        <f>(C25/Cap!$B$1)*100</f>
        <v>0</v>
      </c>
      <c r="G25" s="6"/>
      <c r="H25" s="6"/>
      <c r="I25" s="6"/>
    </row>
    <row r="26" spans="1:9" x14ac:dyDescent="0.25">
      <c r="A26" s="2">
        <f t="shared" si="0"/>
        <v>25</v>
      </c>
      <c r="B26" s="3"/>
      <c r="C26" s="3"/>
      <c r="D26" s="3"/>
      <c r="E26" s="3"/>
      <c r="F26" s="11">
        <f>(C26/Cap!$B$1)*100</f>
        <v>0</v>
      </c>
      <c r="G26" s="6"/>
      <c r="H26" s="6"/>
      <c r="I26" s="6"/>
    </row>
    <row r="27" spans="1:9" x14ac:dyDescent="0.25">
      <c r="A27" s="6"/>
      <c r="B27" s="9" t="s">
        <v>21</v>
      </c>
      <c r="C27" s="7" t="s">
        <v>78</v>
      </c>
      <c r="D27" s="6"/>
      <c r="E27" s="6"/>
      <c r="F27" s="6"/>
      <c r="G27" s="6"/>
      <c r="H27" s="6"/>
      <c r="I27" s="6"/>
    </row>
    <row r="28" spans="1:9" x14ac:dyDescent="0.25">
      <c r="A28" s="6"/>
      <c r="B28" s="9" t="s">
        <v>32</v>
      </c>
      <c r="C28" s="7"/>
      <c r="D28" s="6"/>
      <c r="E28" s="6"/>
      <c r="F28" s="6"/>
      <c r="G28" s="6"/>
      <c r="H28" s="6"/>
      <c r="I28" s="6"/>
    </row>
    <row r="29" spans="1:9" x14ac:dyDescent="0.25">
      <c r="A29" s="6"/>
      <c r="B29" s="6" t="s">
        <v>227</v>
      </c>
      <c r="C29" s="7">
        <v>270000</v>
      </c>
      <c r="D29" s="6"/>
      <c r="E29" s="6"/>
      <c r="F29" s="6"/>
      <c r="G29" s="6"/>
      <c r="H29" s="6"/>
      <c r="I29" s="6"/>
    </row>
    <row r="30" spans="1:9" x14ac:dyDescent="0.25">
      <c r="A30" s="6"/>
      <c r="B30" s="6" t="s">
        <v>228</v>
      </c>
      <c r="C30" s="7">
        <v>270000</v>
      </c>
      <c r="D30" s="6"/>
      <c r="E30" s="6"/>
      <c r="F30" s="6"/>
      <c r="G30" s="6"/>
      <c r="H30" s="6"/>
      <c r="I30" s="6"/>
    </row>
    <row r="31" spans="1:9" x14ac:dyDescent="0.25">
      <c r="A31" s="6"/>
      <c r="B31" s="6"/>
      <c r="C31" s="7"/>
      <c r="D31" s="6"/>
      <c r="E31" s="6"/>
      <c r="F31" s="6"/>
      <c r="G31" s="6"/>
      <c r="H31" s="6"/>
      <c r="I31" s="6"/>
    </row>
    <row r="32" spans="1:9" x14ac:dyDescent="0.25">
      <c r="A32" s="6"/>
      <c r="B32" s="6"/>
      <c r="C32" s="7"/>
      <c r="D32" s="6"/>
      <c r="E32" s="6"/>
      <c r="F32" s="6"/>
      <c r="G32" s="6"/>
      <c r="H32" s="6"/>
      <c r="I32" s="6"/>
    </row>
    <row r="33" spans="1:9" x14ac:dyDescent="0.25">
      <c r="A33" s="6"/>
      <c r="B33" s="6"/>
      <c r="C33" s="7"/>
      <c r="D33" s="6"/>
      <c r="E33" s="6"/>
      <c r="F33" s="6"/>
      <c r="G33" s="6"/>
      <c r="H33" s="6"/>
      <c r="I33" s="6"/>
    </row>
    <row r="34" spans="1:9" x14ac:dyDescent="0.25">
      <c r="A34" s="6"/>
      <c r="B34" s="6"/>
      <c r="C34" s="7"/>
      <c r="D34" s="6"/>
      <c r="E34" s="6"/>
      <c r="F34" s="6"/>
      <c r="G34" s="6"/>
      <c r="H34" s="6"/>
      <c r="I34" s="6"/>
    </row>
    <row r="35" spans="1:9" x14ac:dyDescent="0.25">
      <c r="A35" s="6"/>
      <c r="B35" s="6"/>
      <c r="C35" s="6"/>
      <c r="D35" s="6"/>
      <c r="E35" s="6"/>
      <c r="F35" s="6"/>
      <c r="G35" s="6"/>
      <c r="I35" s="6"/>
    </row>
  </sheetData>
  <conditionalFormatting sqref="H4">
    <cfRule type="colorScale" priority="1">
      <colorScale>
        <cfvo type="min"/>
        <cfvo type="max"/>
        <color rgb="FF63BE7B"/>
        <color rgb="FFFCFCFF"/>
      </colorScale>
    </cfRule>
  </conditionalFormatting>
  <pageMargins left="0.7" right="0.7" top="0.75" bottom="0.75" header="0.3" footer="0.3"/>
  <ignoredErrors>
    <ignoredError sqref="F17:F23" evalError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10E74-31B1-4DED-8BF0-EA979776CC1D}">
  <sheetPr>
    <tabColor rgb="FFFF0000"/>
  </sheetPr>
  <dimension ref="A1:I35"/>
  <sheetViews>
    <sheetView workbookViewId="0"/>
  </sheetViews>
  <sheetFormatPr baseColWidth="10" defaultColWidth="0" defaultRowHeight="15" customHeight="1" zeroHeight="1" x14ac:dyDescent="0.25"/>
  <cols>
    <col min="1" max="1" width="4.7109375" customWidth="1"/>
    <col min="2" max="2" width="30.7109375" customWidth="1"/>
    <col min="3" max="4" width="20.7109375" customWidth="1"/>
    <col min="5" max="6" width="15.7109375" customWidth="1"/>
    <col min="7" max="7" width="22.28515625" bestFit="1" customWidth="1"/>
    <col min="8" max="8" width="11.42578125" customWidth="1"/>
    <col min="9" max="9" width="0" hidden="1" customWidth="1"/>
    <col min="10" max="16384" width="11.42578125" hidden="1"/>
  </cols>
  <sheetData>
    <row r="1" spans="1:9" x14ac:dyDescent="0.25">
      <c r="A1" s="4" t="s">
        <v>28</v>
      </c>
      <c r="B1" s="5" t="s">
        <v>0</v>
      </c>
      <c r="C1" s="4">
        <v>2026</v>
      </c>
      <c r="D1" s="4" t="s">
        <v>1</v>
      </c>
      <c r="E1" s="4" t="s">
        <v>29</v>
      </c>
      <c r="F1" s="4" t="s">
        <v>304</v>
      </c>
      <c r="G1" s="6" t="s">
        <v>27</v>
      </c>
      <c r="H1" s="7">
        <f>Cap!B1-Fire!H2</f>
        <v>3164091</v>
      </c>
      <c r="I1" s="6"/>
    </row>
    <row r="2" spans="1:9" x14ac:dyDescent="0.25">
      <c r="A2" s="2">
        <v>1</v>
      </c>
      <c r="B2" s="3" t="s">
        <v>229</v>
      </c>
      <c r="C2" s="2">
        <v>1190000</v>
      </c>
      <c r="D2" s="2" t="s">
        <v>41</v>
      </c>
      <c r="E2" s="2" t="s">
        <v>34</v>
      </c>
      <c r="F2" s="11">
        <f>(C2/Cap!$B$1)*100</f>
        <v>17</v>
      </c>
      <c r="G2" s="6" t="s">
        <v>37</v>
      </c>
      <c r="H2" s="7" cm="1">
        <f t="array" ref="H2">SUM(SUMIFS(C2:C26, E2:E26, {"U";"V";"Rookie Scale"}))</f>
        <v>3835909</v>
      </c>
      <c r="I2" s="6"/>
    </row>
    <row r="3" spans="1:9" x14ac:dyDescent="0.25">
      <c r="A3" s="2">
        <f>A2+1</f>
        <v>2</v>
      </c>
      <c r="B3" s="3" t="s">
        <v>230</v>
      </c>
      <c r="C3" s="2">
        <v>500000</v>
      </c>
      <c r="D3" s="2"/>
      <c r="E3" s="2" t="s">
        <v>34</v>
      </c>
      <c r="F3" s="11">
        <f>(C3/Cap!$B$1)*100</f>
        <v>7.1428571428571423</v>
      </c>
      <c r="G3" s="6" t="s">
        <v>33</v>
      </c>
      <c r="H3" s="7" cm="1">
        <f t="array" ref="H3">SUM(SUMIFS(C2:C26, E2:E26, {"V";"Rookie Scale"}))</f>
        <v>2350000</v>
      </c>
      <c r="I3" s="6"/>
    </row>
    <row r="4" spans="1:9" x14ac:dyDescent="0.25">
      <c r="A4" s="2">
        <f t="shared" ref="A4:A26" si="0">A3+1</f>
        <v>3</v>
      </c>
      <c r="B4" s="3" t="s">
        <v>231</v>
      </c>
      <c r="C4" s="2">
        <v>360000</v>
      </c>
      <c r="D4" s="2"/>
      <c r="E4" s="2" t="s">
        <v>34</v>
      </c>
      <c r="F4" s="11">
        <f>(C4/Cap!$B$1)*100</f>
        <v>5.1428571428571423</v>
      </c>
      <c r="G4" s="8" t="s">
        <v>35</v>
      </c>
      <c r="H4" s="7" cm="1">
        <f t="array" ref="H4">SUM(COUNTIF(E2:E26,{"U";"V";"Rookie Scale"}))</f>
        <v>9</v>
      </c>
      <c r="I4" s="6"/>
    </row>
    <row r="5" spans="1:9" x14ac:dyDescent="0.25">
      <c r="A5" s="2">
        <f t="shared" si="0"/>
        <v>4</v>
      </c>
      <c r="B5" s="3" t="s">
        <v>241</v>
      </c>
      <c r="C5" s="2">
        <v>325000</v>
      </c>
      <c r="D5" s="2"/>
      <c r="E5" s="2" t="s">
        <v>30</v>
      </c>
      <c r="F5" s="11">
        <f>(C5/Cap!$B$1)*100</f>
        <v>4.6428571428571432</v>
      </c>
      <c r="G5" s="8" t="s">
        <v>36</v>
      </c>
      <c r="H5" s="7" cm="1">
        <f t="array" ref="H5">SUM(COUNTIF(E2:E26,{"V";"Rookie Scale"}))</f>
        <v>4</v>
      </c>
      <c r="I5" s="6"/>
    </row>
    <row r="6" spans="1:9" x14ac:dyDescent="0.25">
      <c r="A6" s="2">
        <f t="shared" si="0"/>
        <v>5</v>
      </c>
      <c r="B6" s="3" t="s">
        <v>232</v>
      </c>
      <c r="C6" s="2">
        <v>300000</v>
      </c>
      <c r="D6" s="2"/>
      <c r="E6" s="2" t="s">
        <v>34</v>
      </c>
      <c r="F6" s="11">
        <f>(C6/Cap!$B$1)*100</f>
        <v>4.2857142857142856</v>
      </c>
      <c r="G6" s="8" t="s">
        <v>60</v>
      </c>
      <c r="H6" s="10">
        <f>H1/(Cap!B3-Fire!H4)</f>
        <v>1054697</v>
      </c>
      <c r="I6" s="6"/>
    </row>
    <row r="7" spans="1:9" x14ac:dyDescent="0.25">
      <c r="A7" s="2">
        <f t="shared" si="0"/>
        <v>6</v>
      </c>
      <c r="B7" s="3" t="s">
        <v>233</v>
      </c>
      <c r="C7" s="2">
        <v>293510</v>
      </c>
      <c r="D7" s="2"/>
      <c r="E7" s="2" t="s">
        <v>30</v>
      </c>
      <c r="F7" s="11">
        <f>(C7/Cap!$B$1)*100</f>
        <v>4.1930000000000005</v>
      </c>
      <c r="G7" s="8" t="s">
        <v>304</v>
      </c>
      <c r="H7" s="12">
        <f>(H2/Cap!$B$1)*100</f>
        <v>54.798699999999997</v>
      </c>
      <c r="I7" s="6"/>
    </row>
    <row r="8" spans="1:9" x14ac:dyDescent="0.25">
      <c r="A8" s="2">
        <f t="shared" si="0"/>
        <v>7</v>
      </c>
      <c r="B8" s="3" t="s">
        <v>234</v>
      </c>
      <c r="C8" s="2">
        <v>289133</v>
      </c>
      <c r="D8" s="2"/>
      <c r="E8" s="2" t="s">
        <v>30</v>
      </c>
      <c r="F8" s="11">
        <f>(C8/Cap!$B$1)*100</f>
        <v>4.1304714285714281</v>
      </c>
      <c r="G8" s="6"/>
      <c r="H8" s="6"/>
      <c r="I8" s="6"/>
    </row>
    <row r="9" spans="1:9" x14ac:dyDescent="0.25">
      <c r="A9" s="2">
        <f t="shared" si="0"/>
        <v>8</v>
      </c>
      <c r="B9" s="3" t="s">
        <v>235</v>
      </c>
      <c r="C9" s="2">
        <v>289133</v>
      </c>
      <c r="D9" s="2"/>
      <c r="E9" s="2" t="s">
        <v>30</v>
      </c>
      <c r="F9" s="11">
        <f>(C9/Cap!$B$1)*100</f>
        <v>4.1304714285714281</v>
      </c>
      <c r="G9" s="6"/>
      <c r="H9" s="6"/>
      <c r="I9" s="6"/>
    </row>
    <row r="10" spans="1:9" x14ac:dyDescent="0.25">
      <c r="A10" s="2">
        <f t="shared" si="0"/>
        <v>9</v>
      </c>
      <c r="B10" s="3" t="s">
        <v>236</v>
      </c>
      <c r="C10" s="2">
        <v>289133</v>
      </c>
      <c r="D10" s="2"/>
      <c r="E10" s="2" t="s">
        <v>30</v>
      </c>
      <c r="F10" s="11">
        <f>(C10/Cap!$B$1)*100</f>
        <v>4.1304714285714281</v>
      </c>
      <c r="G10" s="6"/>
      <c r="H10" s="6"/>
      <c r="I10" s="6"/>
    </row>
    <row r="11" spans="1:9" x14ac:dyDescent="0.25">
      <c r="A11" s="2">
        <f t="shared" si="0"/>
        <v>10</v>
      </c>
      <c r="B11" s="3" t="s">
        <v>237</v>
      </c>
      <c r="C11" s="2">
        <v>277500</v>
      </c>
      <c r="D11" s="2"/>
      <c r="E11" s="2" t="s">
        <v>31</v>
      </c>
      <c r="F11" s="11">
        <f>(C11/Cap!$B$1)*100</f>
        <v>3.964285714285714</v>
      </c>
      <c r="G11" s="6"/>
      <c r="H11" s="6"/>
      <c r="I11" s="6"/>
    </row>
    <row r="12" spans="1:9" x14ac:dyDescent="0.25">
      <c r="A12" s="2">
        <f t="shared" si="0"/>
        <v>11</v>
      </c>
      <c r="B12" s="3" t="s">
        <v>238</v>
      </c>
      <c r="C12" s="2">
        <v>277500</v>
      </c>
      <c r="D12" s="2"/>
      <c r="E12" s="2" t="s">
        <v>31</v>
      </c>
      <c r="F12" s="11">
        <f>(C12/Cap!$B$1)*100</f>
        <v>3.964285714285714</v>
      </c>
      <c r="G12" s="6"/>
      <c r="H12" s="6"/>
      <c r="I12" s="6"/>
    </row>
    <row r="13" spans="1:9" x14ac:dyDescent="0.25">
      <c r="A13" s="2">
        <f t="shared" si="0"/>
        <v>12</v>
      </c>
      <c r="B13" s="3" t="s">
        <v>239</v>
      </c>
      <c r="C13" s="2">
        <v>277500</v>
      </c>
      <c r="D13" s="2"/>
      <c r="E13" s="2" t="s">
        <v>31</v>
      </c>
      <c r="F13" s="11">
        <f>(C13/Cap!$B$1)*100</f>
        <v>3.964285714285714</v>
      </c>
      <c r="G13" s="6"/>
      <c r="H13" s="6"/>
      <c r="I13" s="6"/>
    </row>
    <row r="14" spans="1:9" x14ac:dyDescent="0.25">
      <c r="A14" s="2">
        <f t="shared" si="0"/>
        <v>13</v>
      </c>
      <c r="B14" s="3" t="s">
        <v>240</v>
      </c>
      <c r="C14" s="2" t="s">
        <v>96</v>
      </c>
      <c r="D14" s="2"/>
      <c r="E14" s="2"/>
      <c r="F14" s="11" t="e">
        <f>(C14/Cap!$B$1)*100</f>
        <v>#VALUE!</v>
      </c>
      <c r="G14" s="6"/>
      <c r="H14" s="6"/>
      <c r="I14" s="6"/>
    </row>
    <row r="15" spans="1:9" x14ac:dyDescent="0.25">
      <c r="A15" s="2">
        <f t="shared" si="0"/>
        <v>14</v>
      </c>
      <c r="B15" s="3"/>
      <c r="C15" s="2"/>
      <c r="D15" s="2"/>
      <c r="E15" s="2"/>
      <c r="F15" s="11">
        <f>(C15/Cap!$B$1)*100</f>
        <v>0</v>
      </c>
      <c r="G15" s="6"/>
      <c r="H15" s="6"/>
      <c r="I15" s="6"/>
    </row>
    <row r="16" spans="1:9" x14ac:dyDescent="0.25">
      <c r="A16" s="2">
        <f t="shared" si="0"/>
        <v>15</v>
      </c>
      <c r="B16" s="3"/>
      <c r="C16" s="2"/>
      <c r="D16" s="2"/>
      <c r="E16" s="3"/>
      <c r="F16" s="11">
        <f>(C16/Cap!$B$1)*100</f>
        <v>0</v>
      </c>
      <c r="G16" s="6"/>
      <c r="H16" s="6"/>
      <c r="I16" s="6"/>
    </row>
    <row r="17" spans="1:9" x14ac:dyDescent="0.25">
      <c r="A17" s="2">
        <f t="shared" si="0"/>
        <v>16</v>
      </c>
      <c r="B17" s="3"/>
      <c r="C17" s="2"/>
      <c r="D17" s="2"/>
      <c r="E17" s="3"/>
      <c r="F17" s="11">
        <f>(C17/Cap!$B$1)*100</f>
        <v>0</v>
      </c>
      <c r="G17" s="6"/>
      <c r="H17" s="6"/>
      <c r="I17" s="6"/>
    </row>
    <row r="18" spans="1:9" x14ac:dyDescent="0.25">
      <c r="A18" s="2">
        <f t="shared" si="0"/>
        <v>17</v>
      </c>
      <c r="B18" s="3"/>
      <c r="C18" s="2"/>
      <c r="D18" s="2"/>
      <c r="E18" s="3"/>
      <c r="F18" s="11">
        <f>(C18/Cap!$B$1)*100</f>
        <v>0</v>
      </c>
      <c r="G18" s="6"/>
      <c r="H18" s="6"/>
      <c r="I18" s="6"/>
    </row>
    <row r="19" spans="1:9" x14ac:dyDescent="0.25">
      <c r="A19" s="2">
        <f t="shared" si="0"/>
        <v>18</v>
      </c>
      <c r="B19" s="3"/>
      <c r="C19" s="2"/>
      <c r="D19" s="2"/>
      <c r="E19" s="3"/>
      <c r="F19" s="11">
        <f>(C19/Cap!$B$1)*100</f>
        <v>0</v>
      </c>
      <c r="G19" s="6"/>
      <c r="H19" s="6"/>
      <c r="I19" s="6"/>
    </row>
    <row r="20" spans="1:9" x14ac:dyDescent="0.25">
      <c r="A20" s="2">
        <f t="shared" si="0"/>
        <v>19</v>
      </c>
      <c r="B20" s="3"/>
      <c r="C20" s="2"/>
      <c r="D20" s="2"/>
      <c r="E20" s="3"/>
      <c r="F20" s="11">
        <f>(C20/Cap!$B$1)*100</f>
        <v>0</v>
      </c>
      <c r="G20" s="6"/>
      <c r="H20" s="6"/>
      <c r="I20" s="6"/>
    </row>
    <row r="21" spans="1:9" x14ac:dyDescent="0.25">
      <c r="A21" s="2">
        <f t="shared" si="0"/>
        <v>20</v>
      </c>
      <c r="B21" s="3"/>
      <c r="C21" s="2"/>
      <c r="D21" s="2"/>
      <c r="E21" s="3"/>
      <c r="F21" s="11">
        <f>(C21/Cap!$B$1)*100</f>
        <v>0</v>
      </c>
      <c r="G21" s="6"/>
      <c r="H21" s="6"/>
      <c r="I21" s="6"/>
    </row>
    <row r="22" spans="1:9" x14ac:dyDescent="0.25">
      <c r="A22" s="2">
        <f t="shared" si="0"/>
        <v>21</v>
      </c>
      <c r="B22" s="3"/>
      <c r="C22" s="3"/>
      <c r="D22" s="3"/>
      <c r="E22" s="3"/>
      <c r="F22" s="11">
        <f>(C22/Cap!$B$1)*100</f>
        <v>0</v>
      </c>
      <c r="G22" s="6"/>
      <c r="H22" s="6"/>
      <c r="I22" s="6"/>
    </row>
    <row r="23" spans="1:9" x14ac:dyDescent="0.25">
      <c r="A23" s="2">
        <f t="shared" si="0"/>
        <v>22</v>
      </c>
      <c r="B23" s="3"/>
      <c r="C23" s="3"/>
      <c r="D23" s="3"/>
      <c r="E23" s="3"/>
      <c r="F23" s="11">
        <f>(C23/Cap!$B$1)*100</f>
        <v>0</v>
      </c>
      <c r="G23" s="6"/>
      <c r="H23" s="6"/>
      <c r="I23" s="6"/>
    </row>
    <row r="24" spans="1:9" x14ac:dyDescent="0.25">
      <c r="A24" s="2">
        <f>A23+1</f>
        <v>23</v>
      </c>
      <c r="B24" s="3"/>
      <c r="C24" s="3"/>
      <c r="D24" s="3"/>
      <c r="E24" s="3"/>
      <c r="F24" s="11">
        <f>(C24/Cap!$B$1)*100</f>
        <v>0</v>
      </c>
      <c r="G24" s="6"/>
      <c r="H24" s="6"/>
      <c r="I24" s="6"/>
    </row>
    <row r="25" spans="1:9" x14ac:dyDescent="0.25">
      <c r="A25" s="2">
        <f t="shared" si="0"/>
        <v>24</v>
      </c>
      <c r="B25" s="3"/>
      <c r="C25" s="3"/>
      <c r="D25" s="3"/>
      <c r="E25" s="3"/>
      <c r="F25" s="11">
        <f>(C25/Cap!$B$1)*100</f>
        <v>0</v>
      </c>
      <c r="G25" s="6"/>
      <c r="H25" s="6"/>
      <c r="I25" s="6"/>
    </row>
    <row r="26" spans="1:9" x14ac:dyDescent="0.25">
      <c r="A26" s="2">
        <f t="shared" si="0"/>
        <v>25</v>
      </c>
      <c r="B26" s="3"/>
      <c r="C26" s="3"/>
      <c r="D26" s="3"/>
      <c r="E26" s="3"/>
      <c r="F26" s="11">
        <f>(C26/Cap!$B$1)*100</f>
        <v>0</v>
      </c>
      <c r="G26" s="6"/>
      <c r="H26" s="6"/>
      <c r="I26" s="6"/>
    </row>
    <row r="27" spans="1:9" x14ac:dyDescent="0.25">
      <c r="A27" s="6"/>
      <c r="B27" s="9" t="s">
        <v>21</v>
      </c>
      <c r="C27" s="7" t="s">
        <v>245</v>
      </c>
      <c r="D27" s="6"/>
      <c r="E27" s="6"/>
      <c r="F27" s="6"/>
      <c r="G27" s="6"/>
      <c r="H27" s="6"/>
      <c r="I27" s="6"/>
    </row>
    <row r="28" spans="1:9" x14ac:dyDescent="0.25">
      <c r="A28" s="6"/>
      <c r="B28" s="9" t="s">
        <v>32</v>
      </c>
      <c r="C28" s="7"/>
      <c r="D28" s="6"/>
      <c r="E28" s="6"/>
      <c r="F28" s="6"/>
      <c r="G28" s="6"/>
      <c r="H28" s="6"/>
      <c r="I28" s="6"/>
    </row>
    <row r="29" spans="1:9" x14ac:dyDescent="0.25">
      <c r="A29" s="6"/>
      <c r="B29" s="6" t="s">
        <v>242</v>
      </c>
      <c r="C29" s="7">
        <v>331563</v>
      </c>
      <c r="D29" s="6"/>
      <c r="E29" s="6"/>
      <c r="F29" s="6"/>
      <c r="G29" s="6"/>
      <c r="H29" s="6"/>
      <c r="I29" s="6"/>
    </row>
    <row r="30" spans="1:9" x14ac:dyDescent="0.25">
      <c r="A30" s="6"/>
      <c r="B30" s="6" t="s">
        <v>244</v>
      </c>
      <c r="C30" s="7">
        <v>270000</v>
      </c>
      <c r="D30" s="6"/>
      <c r="E30" s="6"/>
      <c r="F30" s="6"/>
      <c r="G30" s="6"/>
      <c r="H30" s="6"/>
      <c r="I30" s="6"/>
    </row>
    <row r="31" spans="1:9" x14ac:dyDescent="0.25">
      <c r="A31" s="6"/>
      <c r="B31" s="6" t="s">
        <v>243</v>
      </c>
      <c r="C31" s="7">
        <v>270000</v>
      </c>
      <c r="D31" s="6"/>
      <c r="E31" s="6"/>
      <c r="F31" s="6"/>
      <c r="G31" s="6"/>
      <c r="H31" s="6"/>
      <c r="I31" s="6"/>
    </row>
    <row r="32" spans="1:9" x14ac:dyDescent="0.25">
      <c r="A32" s="6"/>
      <c r="B32" s="6"/>
      <c r="C32" s="7"/>
      <c r="D32" s="6"/>
      <c r="E32" s="6"/>
      <c r="F32" s="6"/>
      <c r="G32" s="6"/>
      <c r="H32" s="6"/>
      <c r="I32" s="6"/>
    </row>
    <row r="33" spans="1:9" x14ac:dyDescent="0.25">
      <c r="A33" s="6"/>
      <c r="B33" s="6"/>
      <c r="C33" s="7"/>
      <c r="D33" s="6"/>
      <c r="E33" s="6"/>
      <c r="F33" s="6"/>
      <c r="G33" s="6"/>
      <c r="H33" s="6"/>
      <c r="I33" s="6"/>
    </row>
    <row r="34" spans="1:9" x14ac:dyDescent="0.25">
      <c r="A34" s="6"/>
      <c r="B34" s="6"/>
      <c r="C34" s="7"/>
      <c r="D34" s="6"/>
      <c r="E34" s="6"/>
      <c r="F34" s="6"/>
      <c r="G34" s="6"/>
      <c r="H34" s="6"/>
      <c r="I34" s="6"/>
    </row>
    <row r="35" spans="1:9" x14ac:dyDescent="0.25">
      <c r="A35" s="6"/>
      <c r="B35" s="6"/>
      <c r="C35" s="6"/>
      <c r="D35" s="6"/>
      <c r="E35" s="6"/>
      <c r="F35" s="6"/>
      <c r="G35" s="6"/>
      <c r="I35" s="6"/>
    </row>
  </sheetData>
  <conditionalFormatting sqref="H4">
    <cfRule type="colorScale" priority="1">
      <colorScale>
        <cfvo type="min"/>
        <cfvo type="max"/>
        <color rgb="FF63BE7B"/>
        <color rgb="FFFCFCFF"/>
      </colorScale>
    </cfRule>
  </conditionalFormatting>
  <pageMargins left="0.7" right="0.7" top="0.75" bottom="0.75" header="0.3" footer="0.3"/>
  <ignoredErrors>
    <ignoredError sqref="F14" evalError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49CDE-52F3-401E-AD15-6B8300065DA2}">
  <sheetPr>
    <tabColor theme="9" tint="-0.249977111117893"/>
  </sheetPr>
  <dimension ref="A1:I35"/>
  <sheetViews>
    <sheetView workbookViewId="0"/>
  </sheetViews>
  <sheetFormatPr baseColWidth="10" defaultColWidth="0" defaultRowHeight="15" customHeight="1" zeroHeight="1" x14ac:dyDescent="0.25"/>
  <cols>
    <col min="1" max="1" width="4.7109375" customWidth="1"/>
    <col min="2" max="2" width="30.7109375" customWidth="1"/>
    <col min="3" max="4" width="20.7109375" customWidth="1"/>
    <col min="5" max="6" width="15.7109375" customWidth="1"/>
    <col min="7" max="7" width="22.28515625" bestFit="1" customWidth="1"/>
    <col min="8" max="8" width="11.42578125" customWidth="1"/>
    <col min="9" max="9" width="0" hidden="1" customWidth="1"/>
    <col min="10" max="16384" width="11.42578125" hidden="1"/>
  </cols>
  <sheetData>
    <row r="1" spans="1:9" x14ac:dyDescent="0.25">
      <c r="A1" s="4" t="s">
        <v>28</v>
      </c>
      <c r="B1" s="5" t="s">
        <v>0</v>
      </c>
      <c r="C1" s="4">
        <v>2026</v>
      </c>
      <c r="D1" s="4" t="s">
        <v>1</v>
      </c>
      <c r="E1" s="4" t="s">
        <v>29</v>
      </c>
      <c r="F1" s="4" t="s">
        <v>304</v>
      </c>
      <c r="G1" s="6" t="s">
        <v>27</v>
      </c>
      <c r="H1" s="7">
        <f>Cap!B1-Storm!H2</f>
        <v>2253309</v>
      </c>
      <c r="I1" s="6"/>
    </row>
    <row r="2" spans="1:9" x14ac:dyDescent="0.25">
      <c r="A2" s="2">
        <v>1</v>
      </c>
      <c r="B2" s="3" t="s">
        <v>246</v>
      </c>
      <c r="C2" s="2">
        <v>1250000</v>
      </c>
      <c r="D2" s="2" t="s">
        <v>41</v>
      </c>
      <c r="E2" s="2" t="s">
        <v>34</v>
      </c>
      <c r="F2" s="11">
        <f>(C2/Cap!$B$1)*100</f>
        <v>17.857142857142858</v>
      </c>
      <c r="G2" s="6" t="s">
        <v>37</v>
      </c>
      <c r="H2" s="7" cm="1">
        <f t="array" ref="H2">SUM(SUMIFS(C2:C26, E2:E26, {"U";"V";"Rookie Scale"}))</f>
        <v>4746691</v>
      </c>
      <c r="I2" s="6"/>
    </row>
    <row r="3" spans="1:9" x14ac:dyDescent="0.25">
      <c r="A3" s="2">
        <f>A2+1</f>
        <v>2</v>
      </c>
      <c r="B3" s="3" t="s">
        <v>247</v>
      </c>
      <c r="C3" s="2">
        <v>750000</v>
      </c>
      <c r="D3" s="2"/>
      <c r="E3" s="2" t="s">
        <v>34</v>
      </c>
      <c r="F3" s="11">
        <f>(C3/Cap!$B$1)*100</f>
        <v>10.714285714285714</v>
      </c>
      <c r="G3" s="6" t="s">
        <v>33</v>
      </c>
      <c r="H3" s="7" cm="1">
        <f t="array" ref="H3">SUM(SUMIFS(C2:C26, E2:E26, {"V";"Rookie Scale"}))</f>
        <v>4279778</v>
      </c>
      <c r="I3" s="6"/>
    </row>
    <row r="4" spans="1:9" x14ac:dyDescent="0.25">
      <c r="A4" s="2">
        <f t="shared" ref="A4:A26" si="0">A3+1</f>
        <v>3</v>
      </c>
      <c r="B4" s="3" t="s">
        <v>248</v>
      </c>
      <c r="C4" s="2">
        <v>750000</v>
      </c>
      <c r="D4" s="2"/>
      <c r="E4" s="2" t="s">
        <v>34</v>
      </c>
      <c r="F4" s="11">
        <f>(C4/Cap!$B$1)*100</f>
        <v>10.714285714285714</v>
      </c>
      <c r="G4" s="8" t="s">
        <v>35</v>
      </c>
      <c r="H4" s="7" cm="1">
        <f t="array" ref="H4">SUM(COUNTIF(E2:E26,{"U";"V";"Rookie Scale"}))</f>
        <v>8</v>
      </c>
      <c r="I4" s="6"/>
    </row>
    <row r="5" spans="1:9" x14ac:dyDescent="0.25">
      <c r="A5" s="2">
        <f t="shared" si="0"/>
        <v>4</v>
      </c>
      <c r="B5" s="3" t="s">
        <v>249</v>
      </c>
      <c r="C5" s="2">
        <v>500000</v>
      </c>
      <c r="D5" s="2"/>
      <c r="E5" s="2" t="s">
        <v>34</v>
      </c>
      <c r="F5" s="11">
        <f>(C5/Cap!$B$1)*100</f>
        <v>7.1428571428571423</v>
      </c>
      <c r="G5" s="8" t="s">
        <v>36</v>
      </c>
      <c r="H5" s="7" cm="1">
        <f t="array" ref="H5">SUM(COUNTIF(E2:E26,{"V";"Rookie Scale"}))</f>
        <v>7</v>
      </c>
      <c r="I5" s="6"/>
    </row>
    <row r="6" spans="1:9" x14ac:dyDescent="0.25">
      <c r="A6" s="2">
        <f t="shared" si="0"/>
        <v>5</v>
      </c>
      <c r="B6" s="3" t="s">
        <v>250</v>
      </c>
      <c r="C6" s="2">
        <v>466913</v>
      </c>
      <c r="D6" s="2"/>
      <c r="E6" s="2" t="s">
        <v>30</v>
      </c>
      <c r="F6" s="11">
        <f>(C6/Cap!$B$1)*100</f>
        <v>6.6701857142857151</v>
      </c>
      <c r="G6" s="8" t="s">
        <v>60</v>
      </c>
      <c r="H6" s="10">
        <f>H1/(Cap!B3-Storm!H4)</f>
        <v>563327.25</v>
      </c>
      <c r="I6" s="6"/>
    </row>
    <row r="7" spans="1:9" x14ac:dyDescent="0.25">
      <c r="A7" s="2">
        <f t="shared" si="0"/>
        <v>6</v>
      </c>
      <c r="B7" s="3" t="s">
        <v>251</v>
      </c>
      <c r="C7" s="2">
        <v>420000</v>
      </c>
      <c r="D7" s="2"/>
      <c r="E7" s="2" t="s">
        <v>34</v>
      </c>
      <c r="F7" s="11">
        <f>(C7/Cap!$B$1)*100</f>
        <v>6</v>
      </c>
      <c r="G7" s="8" t="s">
        <v>304</v>
      </c>
      <c r="H7" s="12">
        <f>(H2/Cap!$B$1)*100</f>
        <v>67.809871428571427</v>
      </c>
      <c r="I7" s="6"/>
    </row>
    <row r="8" spans="1:9" x14ac:dyDescent="0.25">
      <c r="A8" s="2">
        <f t="shared" si="0"/>
        <v>7</v>
      </c>
      <c r="B8" s="3" t="s">
        <v>252</v>
      </c>
      <c r="C8" s="2">
        <v>332278</v>
      </c>
      <c r="D8" s="2"/>
      <c r="E8" s="2" t="s">
        <v>301</v>
      </c>
      <c r="F8" s="11">
        <f>(C8/Cap!$B$1)*100</f>
        <v>4.746828571428571</v>
      </c>
      <c r="G8" s="6"/>
      <c r="H8" s="6"/>
      <c r="I8" s="6"/>
    </row>
    <row r="9" spans="1:9" x14ac:dyDescent="0.25">
      <c r="A9" s="2">
        <f t="shared" si="0"/>
        <v>8</v>
      </c>
      <c r="B9" s="3" t="s">
        <v>253</v>
      </c>
      <c r="C9" s="2">
        <v>277500</v>
      </c>
      <c r="D9" s="2"/>
      <c r="E9" s="2" t="s">
        <v>34</v>
      </c>
      <c r="F9" s="11">
        <f>(C9/Cap!$B$1)*100</f>
        <v>3.964285714285714</v>
      </c>
      <c r="G9" s="6"/>
      <c r="H9" s="6"/>
      <c r="I9" s="6"/>
    </row>
    <row r="10" spans="1:9" x14ac:dyDescent="0.25">
      <c r="A10" s="2">
        <f t="shared" si="0"/>
        <v>9</v>
      </c>
      <c r="B10" s="3" t="s">
        <v>254</v>
      </c>
      <c r="C10" s="2">
        <v>277500</v>
      </c>
      <c r="D10" s="2"/>
      <c r="E10" s="2" t="s">
        <v>31</v>
      </c>
      <c r="F10" s="11">
        <f>(C10/Cap!$B$1)*100</f>
        <v>3.964285714285714</v>
      </c>
      <c r="G10" s="6"/>
      <c r="H10" s="6"/>
      <c r="I10" s="6"/>
    </row>
    <row r="11" spans="1:9" x14ac:dyDescent="0.25">
      <c r="A11" s="2">
        <f t="shared" si="0"/>
        <v>10</v>
      </c>
      <c r="B11" s="3" t="s">
        <v>255</v>
      </c>
      <c r="C11" s="2">
        <v>277500</v>
      </c>
      <c r="D11" s="2"/>
      <c r="E11" s="2" t="s">
        <v>31</v>
      </c>
      <c r="F11" s="11">
        <f>(C11/Cap!$B$1)*100</f>
        <v>3.964285714285714</v>
      </c>
      <c r="G11" s="6"/>
      <c r="H11" s="6"/>
      <c r="I11" s="6"/>
    </row>
    <row r="12" spans="1:9" x14ac:dyDescent="0.25">
      <c r="A12" s="2">
        <f t="shared" si="0"/>
        <v>11</v>
      </c>
      <c r="B12" s="3" t="s">
        <v>256</v>
      </c>
      <c r="C12" s="2" t="s">
        <v>10</v>
      </c>
      <c r="D12" s="2"/>
      <c r="E12" s="2"/>
      <c r="F12" s="11" t="e">
        <f>(C12/Cap!$B$1)*100</f>
        <v>#VALUE!</v>
      </c>
      <c r="G12" s="6"/>
      <c r="H12" s="6"/>
      <c r="I12" s="6"/>
    </row>
    <row r="13" spans="1:9" x14ac:dyDescent="0.25">
      <c r="A13" s="2">
        <f t="shared" si="0"/>
        <v>12</v>
      </c>
      <c r="B13" s="3"/>
      <c r="C13" s="2"/>
      <c r="D13" s="2"/>
      <c r="E13" s="2"/>
      <c r="F13" s="11">
        <f>(C13/Cap!$B$1)*100</f>
        <v>0</v>
      </c>
      <c r="G13" s="6"/>
      <c r="H13" s="6"/>
      <c r="I13" s="6"/>
    </row>
    <row r="14" spans="1:9" x14ac:dyDescent="0.25">
      <c r="A14" s="2">
        <f t="shared" si="0"/>
        <v>13</v>
      </c>
      <c r="B14" s="3"/>
      <c r="C14" s="2"/>
      <c r="D14" s="2"/>
      <c r="E14" s="2"/>
      <c r="F14" s="11">
        <f>(C14/Cap!$B$1)*100</f>
        <v>0</v>
      </c>
      <c r="G14" s="6"/>
      <c r="H14" s="6"/>
      <c r="I14" s="6"/>
    </row>
    <row r="15" spans="1:9" x14ac:dyDescent="0.25">
      <c r="A15" s="2">
        <f t="shared" si="0"/>
        <v>14</v>
      </c>
      <c r="B15" s="3"/>
      <c r="C15" s="2"/>
      <c r="D15" s="2"/>
      <c r="E15" s="2"/>
      <c r="F15" s="11">
        <f>(C15/Cap!$B$1)*100</f>
        <v>0</v>
      </c>
      <c r="G15" s="6"/>
      <c r="H15" s="6"/>
      <c r="I15" s="6"/>
    </row>
    <row r="16" spans="1:9" x14ac:dyDescent="0.25">
      <c r="A16" s="2">
        <f t="shared" si="0"/>
        <v>15</v>
      </c>
      <c r="B16" s="3"/>
      <c r="C16" s="2"/>
      <c r="D16" s="2"/>
      <c r="E16" s="3"/>
      <c r="F16" s="11">
        <f>(C16/Cap!$B$1)*100</f>
        <v>0</v>
      </c>
      <c r="G16" s="6"/>
      <c r="H16" s="6"/>
      <c r="I16" s="6"/>
    </row>
    <row r="17" spans="1:9" x14ac:dyDescent="0.25">
      <c r="A17" s="2">
        <f t="shared" si="0"/>
        <v>16</v>
      </c>
      <c r="B17" s="3"/>
      <c r="C17" s="2"/>
      <c r="D17" s="2"/>
      <c r="E17" s="3"/>
      <c r="F17" s="11">
        <f>(C17/Cap!$B$1)*100</f>
        <v>0</v>
      </c>
      <c r="G17" s="6"/>
      <c r="H17" s="6"/>
      <c r="I17" s="6"/>
    </row>
    <row r="18" spans="1:9" x14ac:dyDescent="0.25">
      <c r="A18" s="2">
        <f t="shared" si="0"/>
        <v>17</v>
      </c>
      <c r="B18" s="3"/>
      <c r="C18" s="2"/>
      <c r="D18" s="2"/>
      <c r="E18" s="3"/>
      <c r="F18" s="11">
        <f>(C18/Cap!$B$1)*100</f>
        <v>0</v>
      </c>
      <c r="G18" s="6"/>
      <c r="H18" s="6"/>
      <c r="I18" s="6"/>
    </row>
    <row r="19" spans="1:9" x14ac:dyDescent="0.25">
      <c r="A19" s="2">
        <f t="shared" si="0"/>
        <v>18</v>
      </c>
      <c r="B19" s="3"/>
      <c r="C19" s="2"/>
      <c r="D19" s="2"/>
      <c r="E19" s="3"/>
      <c r="F19" s="11">
        <f>(C19/Cap!$B$1)*100</f>
        <v>0</v>
      </c>
      <c r="G19" s="6"/>
      <c r="H19" s="6"/>
      <c r="I19" s="6"/>
    </row>
    <row r="20" spans="1:9" x14ac:dyDescent="0.25">
      <c r="A20" s="2">
        <f t="shared" si="0"/>
        <v>19</v>
      </c>
      <c r="B20" s="3"/>
      <c r="C20" s="2"/>
      <c r="D20" s="2"/>
      <c r="E20" s="3"/>
      <c r="F20" s="11">
        <f>(C20/Cap!$B$1)*100</f>
        <v>0</v>
      </c>
      <c r="G20" s="6"/>
      <c r="H20" s="6"/>
      <c r="I20" s="6"/>
    </row>
    <row r="21" spans="1:9" x14ac:dyDescent="0.25">
      <c r="A21" s="2">
        <f t="shared" si="0"/>
        <v>20</v>
      </c>
      <c r="B21" s="3"/>
      <c r="C21" s="2"/>
      <c r="D21" s="2"/>
      <c r="E21" s="3"/>
      <c r="F21" s="11">
        <f>(C21/Cap!$B$1)*100</f>
        <v>0</v>
      </c>
      <c r="G21" s="6"/>
      <c r="H21" s="6"/>
      <c r="I21" s="6"/>
    </row>
    <row r="22" spans="1:9" x14ac:dyDescent="0.25">
      <c r="A22" s="2">
        <f t="shared" si="0"/>
        <v>21</v>
      </c>
      <c r="B22" s="3"/>
      <c r="C22" s="3"/>
      <c r="D22" s="3"/>
      <c r="E22" s="3"/>
      <c r="F22" s="11">
        <f>(C22/Cap!$B$1)*100</f>
        <v>0</v>
      </c>
      <c r="G22" s="6"/>
      <c r="H22" s="6"/>
      <c r="I22" s="6"/>
    </row>
    <row r="23" spans="1:9" x14ac:dyDescent="0.25">
      <c r="A23" s="2">
        <f t="shared" si="0"/>
        <v>22</v>
      </c>
      <c r="B23" s="3"/>
      <c r="C23" s="3"/>
      <c r="D23" s="3"/>
      <c r="E23" s="3"/>
      <c r="F23" s="11">
        <f>(C23/Cap!$B$1)*100</f>
        <v>0</v>
      </c>
      <c r="G23" s="6"/>
      <c r="H23" s="6"/>
      <c r="I23" s="6"/>
    </row>
    <row r="24" spans="1:9" x14ac:dyDescent="0.25">
      <c r="A24" s="2">
        <f>A23+1</f>
        <v>23</v>
      </c>
      <c r="B24" s="3"/>
      <c r="C24" s="3"/>
      <c r="D24" s="3"/>
      <c r="E24" s="3"/>
      <c r="F24" s="11">
        <f>(C24/Cap!$B$1)*100</f>
        <v>0</v>
      </c>
      <c r="G24" s="6"/>
      <c r="H24" s="6"/>
      <c r="I24" s="6"/>
    </row>
    <row r="25" spans="1:9" x14ac:dyDescent="0.25">
      <c r="A25" s="2">
        <f t="shared" si="0"/>
        <v>24</v>
      </c>
      <c r="B25" s="3"/>
      <c r="C25" s="3"/>
      <c r="D25" s="3"/>
      <c r="E25" s="3"/>
      <c r="F25" s="11">
        <f>(C25/Cap!$B$1)*100</f>
        <v>0</v>
      </c>
      <c r="G25" s="6"/>
      <c r="H25" s="6"/>
      <c r="I25" s="6"/>
    </row>
    <row r="26" spans="1:9" x14ac:dyDescent="0.25">
      <c r="A26" s="2">
        <f t="shared" si="0"/>
        <v>25</v>
      </c>
      <c r="B26" s="3"/>
      <c r="C26" s="3"/>
      <c r="D26" s="3"/>
      <c r="E26" s="3"/>
      <c r="F26" s="11">
        <f>(C26/Cap!$B$1)*100</f>
        <v>0</v>
      </c>
      <c r="G26" s="6"/>
      <c r="H26" s="6"/>
      <c r="I26" s="6"/>
    </row>
    <row r="27" spans="1:9" x14ac:dyDescent="0.25">
      <c r="A27" s="6"/>
      <c r="B27" s="9" t="s">
        <v>21</v>
      </c>
      <c r="C27" s="7" t="s">
        <v>261</v>
      </c>
      <c r="D27" s="6"/>
      <c r="E27" s="6"/>
      <c r="F27" s="6"/>
      <c r="G27" s="6"/>
      <c r="H27" s="6"/>
      <c r="I27" s="6"/>
    </row>
    <row r="28" spans="1:9" x14ac:dyDescent="0.25">
      <c r="A28" s="6"/>
      <c r="B28" s="9" t="s">
        <v>32</v>
      </c>
      <c r="C28" s="7"/>
      <c r="D28" s="6"/>
      <c r="E28" s="6"/>
      <c r="F28" s="6"/>
      <c r="G28" s="6"/>
      <c r="H28" s="6"/>
      <c r="I28" s="6"/>
    </row>
    <row r="29" spans="1:9" x14ac:dyDescent="0.25">
      <c r="A29" s="6"/>
      <c r="B29" s="6" t="s">
        <v>257</v>
      </c>
      <c r="C29" s="7">
        <v>436016</v>
      </c>
      <c r="D29" s="6"/>
      <c r="E29" s="6"/>
      <c r="F29" s="6"/>
      <c r="G29" s="6"/>
      <c r="H29" s="6"/>
      <c r="I29" s="6"/>
    </row>
    <row r="30" spans="1:9" x14ac:dyDescent="0.25">
      <c r="A30" s="6"/>
      <c r="B30" s="6" t="s">
        <v>258</v>
      </c>
      <c r="C30" s="7">
        <v>309622</v>
      </c>
      <c r="D30" s="6"/>
      <c r="E30" s="6"/>
      <c r="F30" s="6"/>
      <c r="G30" s="6"/>
      <c r="H30" s="6"/>
      <c r="I30" s="6"/>
    </row>
    <row r="31" spans="1:9" x14ac:dyDescent="0.25">
      <c r="A31" s="6"/>
      <c r="B31" s="6" t="s">
        <v>259</v>
      </c>
      <c r="C31" s="7">
        <v>289133</v>
      </c>
      <c r="D31" s="6"/>
      <c r="E31" s="6"/>
      <c r="F31" s="6"/>
      <c r="G31" s="6"/>
      <c r="H31" s="6"/>
      <c r="I31" s="6"/>
    </row>
    <row r="32" spans="1:9" x14ac:dyDescent="0.25">
      <c r="A32" s="6"/>
      <c r="B32" s="6" t="s">
        <v>260</v>
      </c>
      <c r="C32" s="7">
        <v>270000</v>
      </c>
      <c r="D32" s="6"/>
      <c r="E32" s="6"/>
      <c r="F32" s="6"/>
      <c r="G32" s="6"/>
      <c r="H32" s="6"/>
      <c r="I32" s="6"/>
    </row>
    <row r="33" spans="1:9" x14ac:dyDescent="0.25">
      <c r="A33" s="6"/>
      <c r="B33" s="6"/>
      <c r="C33" s="7"/>
      <c r="D33" s="6"/>
      <c r="E33" s="6"/>
      <c r="F33" s="6"/>
      <c r="G33" s="6"/>
      <c r="H33" s="6"/>
      <c r="I33" s="6"/>
    </row>
    <row r="34" spans="1:9" x14ac:dyDescent="0.25">
      <c r="A34" s="6"/>
      <c r="B34" s="6"/>
      <c r="C34" s="7"/>
      <c r="D34" s="6"/>
      <c r="E34" s="6"/>
      <c r="F34" s="6"/>
      <c r="G34" s="6"/>
      <c r="H34" s="6"/>
      <c r="I34" s="6"/>
    </row>
    <row r="35" spans="1:9" x14ac:dyDescent="0.25">
      <c r="A35" s="6"/>
      <c r="B35" s="6"/>
      <c r="C35" s="6"/>
      <c r="D35" s="6"/>
      <c r="E35" s="6"/>
      <c r="F35" s="6"/>
      <c r="G35" s="6"/>
      <c r="I35" s="6"/>
    </row>
  </sheetData>
  <conditionalFormatting sqref="H4">
    <cfRule type="colorScale" priority="1">
      <colorScale>
        <cfvo type="min"/>
        <cfvo type="max"/>
        <color rgb="FF63BE7B"/>
        <color rgb="FFFCFCFF"/>
      </colorScale>
    </cfRule>
  </conditionalFormatting>
  <pageMargins left="0.7" right="0.7" top="0.75" bottom="0.75" header="0.3" footer="0.3"/>
  <ignoredErrors>
    <ignoredError sqref="F12" evalError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E9EB7-D005-464D-BECA-24A1241CB048}">
  <sheetPr>
    <tabColor rgb="FFA50021"/>
  </sheetPr>
  <dimension ref="A1:I35"/>
  <sheetViews>
    <sheetView workbookViewId="0"/>
  </sheetViews>
  <sheetFormatPr baseColWidth="10" defaultColWidth="0" defaultRowHeight="15" customHeight="1" zeroHeight="1" x14ac:dyDescent="0.25"/>
  <cols>
    <col min="1" max="1" width="4.7109375" customWidth="1"/>
    <col min="2" max="2" width="30.7109375" customWidth="1"/>
    <col min="3" max="4" width="20.7109375" customWidth="1"/>
    <col min="5" max="6" width="15.7109375" customWidth="1"/>
    <col min="7" max="7" width="22.28515625" bestFit="1" customWidth="1"/>
    <col min="8" max="8" width="11.42578125" customWidth="1"/>
    <col min="9" max="9" width="0" hidden="1" customWidth="1"/>
    <col min="10" max="10" width="11.42578125" hidden="1" customWidth="1"/>
    <col min="11" max="16384" width="11.42578125" hidden="1"/>
  </cols>
  <sheetData>
    <row r="1" spans="1:9" x14ac:dyDescent="0.25">
      <c r="A1" s="4" t="s">
        <v>28</v>
      </c>
      <c r="B1" s="5" t="s">
        <v>0</v>
      </c>
      <c r="C1" s="4">
        <v>2026</v>
      </c>
      <c r="D1" s="4" t="s">
        <v>1</v>
      </c>
      <c r="E1" s="4" t="s">
        <v>29</v>
      </c>
      <c r="F1" s="4" t="s">
        <v>304</v>
      </c>
      <c r="G1" s="6" t="s">
        <v>27</v>
      </c>
      <c r="H1" s="7">
        <f>Cap!B1-Tempo!H2</f>
        <v>3070543</v>
      </c>
      <c r="I1" s="6"/>
    </row>
    <row r="2" spans="1:9" x14ac:dyDescent="0.25">
      <c r="A2" s="2">
        <v>1</v>
      </c>
      <c r="B2" s="3" t="s">
        <v>262</v>
      </c>
      <c r="C2" s="2">
        <v>1200000</v>
      </c>
      <c r="D2" s="2" t="s">
        <v>103</v>
      </c>
      <c r="E2" s="2" t="s">
        <v>34</v>
      </c>
      <c r="F2" s="11">
        <f>(C2/Cap!$B$1)*100</f>
        <v>17.142857142857142</v>
      </c>
      <c r="G2" s="6" t="s">
        <v>37</v>
      </c>
      <c r="H2" s="7" cm="1">
        <f t="array" ref="H2">SUM(SUMIFS(C2:C26, E2:E26, {"U";"V";"Rookie Scale"}))</f>
        <v>3929457</v>
      </c>
      <c r="I2" s="6"/>
    </row>
    <row r="3" spans="1:9" x14ac:dyDescent="0.25">
      <c r="A3" s="2">
        <f>A2+1</f>
        <v>2</v>
      </c>
      <c r="B3" s="3" t="s">
        <v>263</v>
      </c>
      <c r="C3" s="2">
        <v>1190000</v>
      </c>
      <c r="D3" s="2"/>
      <c r="E3" s="2" t="s">
        <v>34</v>
      </c>
      <c r="F3" s="11">
        <f>(C3/Cap!$B$1)*100</f>
        <v>17</v>
      </c>
      <c r="G3" s="6" t="s">
        <v>33</v>
      </c>
      <c r="H3" s="7" cm="1">
        <f t="array" ref="H3">SUM(SUMIFS(C2:C26, E2:E26, {"V";"Rookie Scale"}))</f>
        <v>3251957</v>
      </c>
      <c r="I3" s="6"/>
    </row>
    <row r="4" spans="1:9" x14ac:dyDescent="0.25">
      <c r="A4" s="2">
        <f t="shared" ref="A4:A26" si="0">A3+1</f>
        <v>3</v>
      </c>
      <c r="B4" s="3" t="s">
        <v>264</v>
      </c>
      <c r="C4" s="2">
        <v>436957</v>
      </c>
      <c r="D4" s="2"/>
      <c r="E4" s="2" t="s">
        <v>301</v>
      </c>
      <c r="F4" s="11">
        <f>(C4/Cap!$B$1)*100</f>
        <v>6.2422428571428572</v>
      </c>
      <c r="G4" s="8" t="s">
        <v>35</v>
      </c>
      <c r="H4" s="7" cm="1">
        <f t="array" ref="H4">SUM(COUNTIF(E2:E26,{"U";"V";"Rookie Scale"}))</f>
        <v>6</v>
      </c>
      <c r="I4" s="6"/>
    </row>
    <row r="5" spans="1:9" x14ac:dyDescent="0.25">
      <c r="A5" s="2">
        <f t="shared" si="0"/>
        <v>4</v>
      </c>
      <c r="B5" s="3" t="s">
        <v>265</v>
      </c>
      <c r="C5" s="2">
        <v>425000</v>
      </c>
      <c r="D5" s="2"/>
      <c r="E5" s="2" t="s">
        <v>34</v>
      </c>
      <c r="F5" s="11">
        <f>(C5/Cap!$B$1)*100</f>
        <v>6.0714285714285712</v>
      </c>
      <c r="G5" s="8" t="s">
        <v>36</v>
      </c>
      <c r="H5" s="7" cm="1">
        <f t="array" ref="H5">SUM(COUNTIF(E2:E26,{"V";"Rookie Scale"}))</f>
        <v>4</v>
      </c>
      <c r="I5" s="6"/>
    </row>
    <row r="6" spans="1:9" x14ac:dyDescent="0.25">
      <c r="A6" s="2">
        <f t="shared" si="0"/>
        <v>5</v>
      </c>
      <c r="B6" s="3" t="s">
        <v>266</v>
      </c>
      <c r="C6" s="2">
        <v>400000</v>
      </c>
      <c r="D6" s="2"/>
      <c r="E6" s="2" t="s">
        <v>30</v>
      </c>
      <c r="F6" s="11">
        <f>(C6/Cap!$B$1)*100</f>
        <v>5.7142857142857144</v>
      </c>
      <c r="G6" s="8" t="s">
        <v>60</v>
      </c>
      <c r="H6" s="10">
        <f>H1/(Cap!B3-Tempo!H4)</f>
        <v>511757.16666666669</v>
      </c>
      <c r="I6" s="6"/>
    </row>
    <row r="7" spans="1:9" x14ac:dyDescent="0.25">
      <c r="A7" s="2">
        <f t="shared" si="0"/>
        <v>6</v>
      </c>
      <c r="B7" s="3" t="s">
        <v>267</v>
      </c>
      <c r="C7" s="2">
        <v>277500</v>
      </c>
      <c r="D7" s="2"/>
      <c r="E7" s="2" t="s">
        <v>30</v>
      </c>
      <c r="F7" s="11">
        <f>(C7/Cap!$B$1)*100</f>
        <v>3.964285714285714</v>
      </c>
      <c r="G7" s="8" t="s">
        <v>304</v>
      </c>
      <c r="H7" s="12">
        <f>(H2/Cap!$B$1)*100</f>
        <v>56.135100000000001</v>
      </c>
      <c r="I7" s="6"/>
    </row>
    <row r="8" spans="1:9" x14ac:dyDescent="0.25">
      <c r="A8" s="2">
        <f t="shared" si="0"/>
        <v>7</v>
      </c>
      <c r="B8" s="3" t="s">
        <v>268</v>
      </c>
      <c r="C8" s="2">
        <v>277500</v>
      </c>
      <c r="D8" s="2"/>
      <c r="E8" s="2" t="s">
        <v>31</v>
      </c>
      <c r="F8" s="11">
        <f>(C8/Cap!$B$1)*100</f>
        <v>3.964285714285714</v>
      </c>
      <c r="G8" s="6"/>
      <c r="H8" s="6"/>
      <c r="I8" s="6"/>
    </row>
    <row r="9" spans="1:9" x14ac:dyDescent="0.25">
      <c r="A9" s="2">
        <f t="shared" si="0"/>
        <v>8</v>
      </c>
      <c r="B9" s="3" t="s">
        <v>269</v>
      </c>
      <c r="C9" s="2">
        <v>277500</v>
      </c>
      <c r="D9" s="2"/>
      <c r="E9" s="2" t="s">
        <v>31</v>
      </c>
      <c r="F9" s="11">
        <f>(C9/Cap!$B$1)*100</f>
        <v>3.964285714285714</v>
      </c>
      <c r="G9" s="6"/>
      <c r="H9" s="6"/>
      <c r="I9" s="6"/>
    </row>
    <row r="10" spans="1:9" x14ac:dyDescent="0.25">
      <c r="A10" s="2">
        <f t="shared" si="0"/>
        <v>9</v>
      </c>
      <c r="B10" s="3" t="s">
        <v>276</v>
      </c>
      <c r="C10" s="2">
        <v>277500</v>
      </c>
      <c r="D10" s="2"/>
      <c r="E10" s="2" t="s">
        <v>31</v>
      </c>
      <c r="F10" s="11">
        <f>(C10/Cap!$B$1)*100</f>
        <v>3.964285714285714</v>
      </c>
      <c r="G10" s="6"/>
      <c r="H10" s="6"/>
      <c r="I10" s="6"/>
    </row>
    <row r="11" spans="1:9" x14ac:dyDescent="0.25">
      <c r="A11" s="2">
        <f t="shared" si="0"/>
        <v>10</v>
      </c>
      <c r="B11" s="3" t="s">
        <v>270</v>
      </c>
      <c r="C11" s="2">
        <v>277500</v>
      </c>
      <c r="D11" s="2"/>
      <c r="E11" s="2" t="s">
        <v>31</v>
      </c>
      <c r="F11" s="11">
        <f>(C11/Cap!$B$1)*100</f>
        <v>3.964285714285714</v>
      </c>
      <c r="G11" s="6"/>
      <c r="H11" s="6"/>
      <c r="I11" s="6"/>
    </row>
    <row r="12" spans="1:9" x14ac:dyDescent="0.25">
      <c r="A12" s="2">
        <f t="shared" si="0"/>
        <v>11</v>
      </c>
      <c r="B12" s="3" t="s">
        <v>271</v>
      </c>
      <c r="C12" s="2">
        <v>270000</v>
      </c>
      <c r="D12" s="2"/>
      <c r="E12" s="2" t="s">
        <v>31</v>
      </c>
      <c r="F12" s="11">
        <f>(C12/Cap!$B$1)*100</f>
        <v>3.8571428571428568</v>
      </c>
      <c r="G12" s="6"/>
      <c r="H12" s="6"/>
      <c r="I12" s="6"/>
    </row>
    <row r="13" spans="1:9" x14ac:dyDescent="0.25">
      <c r="A13" s="2">
        <f t="shared" si="0"/>
        <v>12</v>
      </c>
      <c r="B13" s="3" t="s">
        <v>275</v>
      </c>
      <c r="C13" s="2">
        <v>270000</v>
      </c>
      <c r="D13" s="2"/>
      <c r="E13" s="2" t="s">
        <v>31</v>
      </c>
      <c r="F13" s="11">
        <f>(C13/Cap!$B$1)*100</f>
        <v>3.8571428571428568</v>
      </c>
      <c r="G13" s="6"/>
      <c r="H13" s="6"/>
      <c r="I13" s="6"/>
    </row>
    <row r="14" spans="1:9" x14ac:dyDescent="0.25">
      <c r="A14" s="2">
        <f t="shared" si="0"/>
        <v>13</v>
      </c>
      <c r="B14" s="3" t="s">
        <v>272</v>
      </c>
      <c r="C14" s="2">
        <v>270000</v>
      </c>
      <c r="D14" s="2"/>
      <c r="E14" s="2" t="s">
        <v>31</v>
      </c>
      <c r="F14" s="11">
        <f>(C14/Cap!$B$1)*100</f>
        <v>3.8571428571428568</v>
      </c>
      <c r="G14" s="6"/>
      <c r="H14" s="6"/>
      <c r="I14" s="6"/>
    </row>
    <row r="15" spans="1:9" x14ac:dyDescent="0.25">
      <c r="A15" s="2">
        <f t="shared" si="0"/>
        <v>14</v>
      </c>
      <c r="B15" s="3" t="s">
        <v>273</v>
      </c>
      <c r="C15" s="2">
        <v>270000</v>
      </c>
      <c r="D15" s="2"/>
      <c r="E15" s="2" t="s">
        <v>31</v>
      </c>
      <c r="F15" s="11">
        <f>(C15/Cap!$B$1)*100</f>
        <v>3.8571428571428568</v>
      </c>
      <c r="G15" s="6"/>
      <c r="H15" s="6"/>
      <c r="I15" s="6"/>
    </row>
    <row r="16" spans="1:9" x14ac:dyDescent="0.25">
      <c r="A16" s="2">
        <f t="shared" si="0"/>
        <v>15</v>
      </c>
      <c r="B16" s="3" t="s">
        <v>274</v>
      </c>
      <c r="C16" s="2" t="s">
        <v>17</v>
      </c>
      <c r="D16" s="2"/>
      <c r="E16" s="3"/>
      <c r="F16" s="11" t="e">
        <f>(C16/Cap!$B$1)*100</f>
        <v>#VALUE!</v>
      </c>
      <c r="G16" s="6"/>
      <c r="H16" s="6"/>
      <c r="I16" s="6"/>
    </row>
    <row r="17" spans="1:9" x14ac:dyDescent="0.25">
      <c r="A17" s="2">
        <f t="shared" si="0"/>
        <v>16</v>
      </c>
      <c r="B17" s="3"/>
      <c r="C17" s="2"/>
      <c r="D17" s="2"/>
      <c r="E17" s="3"/>
      <c r="F17" s="11">
        <f>(C17/Cap!$B$1)*100</f>
        <v>0</v>
      </c>
      <c r="G17" s="6"/>
      <c r="H17" s="6"/>
      <c r="I17" s="6"/>
    </row>
    <row r="18" spans="1:9" x14ac:dyDescent="0.25">
      <c r="A18" s="2">
        <f t="shared" si="0"/>
        <v>17</v>
      </c>
      <c r="B18" s="3"/>
      <c r="C18" s="2"/>
      <c r="D18" s="2"/>
      <c r="E18" s="3"/>
      <c r="F18" s="11">
        <f>(C18/Cap!$B$1)*100</f>
        <v>0</v>
      </c>
      <c r="G18" s="6"/>
      <c r="H18" s="6"/>
      <c r="I18" s="6"/>
    </row>
    <row r="19" spans="1:9" x14ac:dyDescent="0.25">
      <c r="A19" s="2">
        <f t="shared" si="0"/>
        <v>18</v>
      </c>
      <c r="B19" s="3"/>
      <c r="C19" s="2"/>
      <c r="D19" s="2"/>
      <c r="E19" s="3"/>
      <c r="F19" s="11">
        <f>(C19/Cap!$B$1)*100</f>
        <v>0</v>
      </c>
      <c r="G19" s="6"/>
      <c r="H19" s="6"/>
      <c r="I19" s="6"/>
    </row>
    <row r="20" spans="1:9" x14ac:dyDescent="0.25">
      <c r="A20" s="2">
        <f t="shared" si="0"/>
        <v>19</v>
      </c>
      <c r="B20" s="3"/>
      <c r="C20" s="2"/>
      <c r="D20" s="2"/>
      <c r="E20" s="3"/>
      <c r="F20" s="11">
        <f>(C20/Cap!$B$1)*100</f>
        <v>0</v>
      </c>
      <c r="G20" s="6"/>
      <c r="H20" s="6"/>
      <c r="I20" s="6"/>
    </row>
    <row r="21" spans="1:9" x14ac:dyDescent="0.25">
      <c r="A21" s="2">
        <f t="shared" si="0"/>
        <v>20</v>
      </c>
      <c r="B21" s="3"/>
      <c r="C21" s="2"/>
      <c r="D21" s="2"/>
      <c r="E21" s="3"/>
      <c r="F21" s="11">
        <f>(C21/Cap!$B$1)*100</f>
        <v>0</v>
      </c>
      <c r="G21" s="6"/>
      <c r="H21" s="6"/>
      <c r="I21" s="6"/>
    </row>
    <row r="22" spans="1:9" x14ac:dyDescent="0.25">
      <c r="A22" s="2">
        <f t="shared" si="0"/>
        <v>21</v>
      </c>
      <c r="B22" s="3"/>
      <c r="C22" s="3"/>
      <c r="D22" s="3"/>
      <c r="E22" s="3"/>
      <c r="F22" s="11">
        <f>(C22/Cap!$B$1)*100</f>
        <v>0</v>
      </c>
      <c r="G22" s="6"/>
      <c r="H22" s="6"/>
      <c r="I22" s="6"/>
    </row>
    <row r="23" spans="1:9" x14ac:dyDescent="0.25">
      <c r="A23" s="2">
        <f t="shared" si="0"/>
        <v>22</v>
      </c>
      <c r="B23" s="3"/>
      <c r="C23" s="3"/>
      <c r="D23" s="3"/>
      <c r="E23" s="3"/>
      <c r="F23" s="11">
        <f>(C23/Cap!$B$1)*100</f>
        <v>0</v>
      </c>
      <c r="G23" s="6"/>
      <c r="H23" s="6"/>
      <c r="I23" s="6"/>
    </row>
    <row r="24" spans="1:9" x14ac:dyDescent="0.25">
      <c r="A24" s="2">
        <f>A23+1</f>
        <v>23</v>
      </c>
      <c r="B24" s="3"/>
      <c r="C24" s="3"/>
      <c r="D24" s="3"/>
      <c r="E24" s="3"/>
      <c r="F24" s="11">
        <f>(C24/Cap!$B$1)*100</f>
        <v>0</v>
      </c>
      <c r="G24" s="6"/>
      <c r="H24" s="6"/>
      <c r="I24" s="6"/>
    </row>
    <row r="25" spans="1:9" x14ac:dyDescent="0.25">
      <c r="A25" s="2">
        <f t="shared" si="0"/>
        <v>24</v>
      </c>
      <c r="B25" s="3"/>
      <c r="C25" s="3"/>
      <c r="D25" s="3"/>
      <c r="E25" s="3"/>
      <c r="F25" s="11">
        <f>(C25/Cap!$B$1)*100</f>
        <v>0</v>
      </c>
      <c r="G25" s="6"/>
      <c r="H25" s="6"/>
      <c r="I25" s="6"/>
    </row>
    <row r="26" spans="1:9" x14ac:dyDescent="0.25">
      <c r="A26" s="2">
        <f t="shared" si="0"/>
        <v>25</v>
      </c>
      <c r="B26" s="3"/>
      <c r="C26" s="3"/>
      <c r="D26" s="3"/>
      <c r="E26" s="3"/>
      <c r="F26" s="11">
        <f>(C26/Cap!$B$1)*100</f>
        <v>0</v>
      </c>
      <c r="G26" s="6"/>
      <c r="H26" s="6"/>
      <c r="I26" s="6"/>
    </row>
    <row r="27" spans="1:9" x14ac:dyDescent="0.25">
      <c r="A27" s="6"/>
      <c r="B27" s="9" t="s">
        <v>21</v>
      </c>
      <c r="C27" s="7" t="s">
        <v>282</v>
      </c>
      <c r="D27" s="6"/>
      <c r="E27" s="6"/>
      <c r="F27" s="6"/>
      <c r="G27" s="6"/>
      <c r="H27" s="6"/>
      <c r="I27" s="6"/>
    </row>
    <row r="28" spans="1:9" x14ac:dyDescent="0.25">
      <c r="A28" s="6"/>
      <c r="B28" s="9" t="s">
        <v>32</v>
      </c>
      <c r="C28" s="7"/>
      <c r="D28" s="6"/>
      <c r="E28" s="6"/>
      <c r="F28" s="6"/>
      <c r="G28" s="6"/>
      <c r="H28" s="6"/>
      <c r="I28" s="6"/>
    </row>
    <row r="29" spans="1:9" x14ac:dyDescent="0.25">
      <c r="A29" s="6"/>
      <c r="B29" s="6" t="s">
        <v>277</v>
      </c>
      <c r="C29" s="7">
        <v>355058</v>
      </c>
      <c r="D29" s="6"/>
      <c r="E29" s="6"/>
      <c r="F29" s="6"/>
      <c r="G29" s="6"/>
      <c r="H29" s="6"/>
      <c r="I29" s="6"/>
    </row>
    <row r="30" spans="1:9" x14ac:dyDescent="0.25">
      <c r="A30" s="6"/>
      <c r="B30" s="6" t="s">
        <v>278</v>
      </c>
      <c r="C30" s="7">
        <v>270000</v>
      </c>
      <c r="D30" s="6"/>
      <c r="E30" s="6"/>
      <c r="F30" s="6"/>
      <c r="G30" s="6"/>
      <c r="H30" s="6"/>
      <c r="I30" s="6"/>
    </row>
    <row r="31" spans="1:9" x14ac:dyDescent="0.25">
      <c r="A31" s="6"/>
      <c r="B31" s="6" t="s">
        <v>279</v>
      </c>
      <c r="C31" s="7">
        <v>270000</v>
      </c>
      <c r="D31" s="6"/>
      <c r="E31" s="6"/>
      <c r="F31" s="6"/>
      <c r="G31" s="6"/>
      <c r="H31" s="6"/>
      <c r="I31" s="6"/>
    </row>
    <row r="32" spans="1:9" x14ac:dyDescent="0.25">
      <c r="A32" s="6"/>
      <c r="B32" s="6" t="s">
        <v>280</v>
      </c>
      <c r="C32" s="7">
        <v>270000</v>
      </c>
      <c r="D32" s="6"/>
      <c r="E32" s="6"/>
      <c r="F32" s="6"/>
      <c r="G32" s="6"/>
      <c r="H32" s="6"/>
      <c r="I32" s="6"/>
    </row>
    <row r="33" spans="1:9" x14ac:dyDescent="0.25">
      <c r="A33" s="6"/>
      <c r="B33" s="6" t="s">
        <v>281</v>
      </c>
      <c r="C33" s="7">
        <v>270000</v>
      </c>
      <c r="D33" s="6"/>
      <c r="E33" s="6"/>
      <c r="F33" s="6"/>
      <c r="G33" s="6"/>
      <c r="H33" s="6"/>
      <c r="I33" s="6"/>
    </row>
    <row r="34" spans="1:9" x14ac:dyDescent="0.25">
      <c r="A34" s="6"/>
      <c r="B34" s="6"/>
      <c r="C34" s="7"/>
      <c r="D34" s="6"/>
      <c r="E34" s="6"/>
      <c r="F34" s="6"/>
      <c r="G34" s="6"/>
      <c r="H34" s="6"/>
      <c r="I34" s="6"/>
    </row>
    <row r="35" spans="1:9" x14ac:dyDescent="0.25">
      <c r="A35" s="6"/>
      <c r="B35" s="6"/>
      <c r="C35" s="6"/>
      <c r="D35" s="6"/>
      <c r="E35" s="6"/>
      <c r="F35" s="6"/>
      <c r="G35" s="6"/>
      <c r="I35" s="6"/>
    </row>
  </sheetData>
  <conditionalFormatting sqref="H4">
    <cfRule type="colorScale" priority="1">
      <colorScale>
        <cfvo type="min"/>
        <cfvo type="max"/>
        <color rgb="FF63BE7B"/>
        <color rgb="FFFCFCFF"/>
      </colorScale>
    </cfRule>
  </conditionalFormatting>
  <pageMargins left="0.7" right="0.7" top="0.75" bottom="0.75" header="0.3" footer="0.3"/>
  <ignoredErrors>
    <ignoredError sqref="F16" evalError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04EDF-032C-4F0E-A168-5E5168D4AA50}">
  <sheetPr>
    <tabColor theme="0"/>
  </sheetPr>
  <dimension ref="A1:I36"/>
  <sheetViews>
    <sheetView tabSelected="1" workbookViewId="0"/>
  </sheetViews>
  <sheetFormatPr baseColWidth="10" defaultColWidth="0" defaultRowHeight="15" customHeight="1" zeroHeight="1" x14ac:dyDescent="0.25"/>
  <cols>
    <col min="1" max="1" width="4.7109375" customWidth="1"/>
    <col min="2" max="2" width="30.7109375" customWidth="1"/>
    <col min="3" max="4" width="20.7109375" customWidth="1"/>
    <col min="5" max="6" width="15.7109375" customWidth="1"/>
    <col min="7" max="7" width="22.28515625" bestFit="1" customWidth="1"/>
    <col min="8" max="8" width="11.42578125" customWidth="1"/>
    <col min="9" max="9" width="0" hidden="1" customWidth="1"/>
    <col min="10" max="16384" width="11.42578125" hidden="1"/>
  </cols>
  <sheetData>
    <row r="1" spans="1:9" x14ac:dyDescent="0.25">
      <c r="A1" s="4" t="s">
        <v>28</v>
      </c>
      <c r="B1" s="5" t="s">
        <v>0</v>
      </c>
      <c r="C1" s="4">
        <v>2026</v>
      </c>
      <c r="D1" s="4" t="s">
        <v>1</v>
      </c>
      <c r="E1" s="4" t="s">
        <v>29</v>
      </c>
      <c r="F1" s="4" t="s">
        <v>304</v>
      </c>
      <c r="G1" s="6" t="s">
        <v>27</v>
      </c>
      <c r="H1" s="7">
        <f>Cap!B1-Mystics!H2</f>
        <v>3634263</v>
      </c>
      <c r="I1" s="6"/>
    </row>
    <row r="2" spans="1:9" x14ac:dyDescent="0.25">
      <c r="A2" s="2">
        <v>1</v>
      </c>
      <c r="B2" s="3" t="s">
        <v>283</v>
      </c>
      <c r="C2" s="2">
        <v>1190000</v>
      </c>
      <c r="D2" s="2"/>
      <c r="E2" s="2" t="s">
        <v>34</v>
      </c>
      <c r="F2" s="11">
        <f>(C2/Cap!$B$1)*100</f>
        <v>17</v>
      </c>
      <c r="G2" s="6" t="s">
        <v>37</v>
      </c>
      <c r="H2" s="7" cm="1">
        <f t="array" ref="H2">SUM(SUMIFS(C2:C26, E2:E26, {"U";"V";"Rookie Scale"}))</f>
        <v>3365737</v>
      </c>
      <c r="I2" s="6"/>
    </row>
    <row r="3" spans="1:9" x14ac:dyDescent="0.25">
      <c r="A3" s="2">
        <f>A2+1</f>
        <v>2</v>
      </c>
      <c r="B3" s="3" t="s">
        <v>284</v>
      </c>
      <c r="C3" s="2">
        <v>700000</v>
      </c>
      <c r="D3" s="2"/>
      <c r="E3" s="2" t="s">
        <v>34</v>
      </c>
      <c r="F3" s="11">
        <f>(C3/Cap!$B$1)*100</f>
        <v>10</v>
      </c>
      <c r="G3" s="6" t="s">
        <v>33</v>
      </c>
      <c r="H3" s="7" cm="1">
        <f t="array" ref="H3">SUM(SUMIFS(C2:C26, E2:E26, {"V";"Rookie Scale"}))</f>
        <v>1890000</v>
      </c>
      <c r="I3" s="6"/>
    </row>
    <row r="4" spans="1:9" x14ac:dyDescent="0.25">
      <c r="A4" s="2">
        <f t="shared" ref="A4:A26" si="0">A3+1</f>
        <v>3</v>
      </c>
      <c r="B4" s="3" t="s">
        <v>285</v>
      </c>
      <c r="C4" s="2">
        <v>436016</v>
      </c>
      <c r="D4" s="2"/>
      <c r="E4" s="2" t="s">
        <v>30</v>
      </c>
      <c r="F4" s="11">
        <f>(C4/Cap!$B$1)*100</f>
        <v>6.2288000000000006</v>
      </c>
      <c r="G4" s="8" t="s">
        <v>35</v>
      </c>
      <c r="H4" s="7" cm="1">
        <f t="array" ref="H4">SUM(COUNTIF(E2:E26,{"U";"V";"Rookie Scale"}))</f>
        <v>6</v>
      </c>
      <c r="I4" s="6"/>
    </row>
    <row r="5" spans="1:9" x14ac:dyDescent="0.25">
      <c r="A5" s="2">
        <f t="shared" si="0"/>
        <v>4</v>
      </c>
      <c r="B5" s="3" t="s">
        <v>286</v>
      </c>
      <c r="C5" s="2">
        <v>407163</v>
      </c>
      <c r="D5" s="2"/>
      <c r="E5" s="2" t="s">
        <v>30</v>
      </c>
      <c r="F5" s="11">
        <f>(C5/Cap!$B$1)*100</f>
        <v>5.8166142857142855</v>
      </c>
      <c r="G5" s="8" t="s">
        <v>36</v>
      </c>
      <c r="H5" s="7" cm="1">
        <f t="array" ref="H5">SUM(COUNTIF(E2:E26,{"V";"Rookie Scale"}))</f>
        <v>2</v>
      </c>
      <c r="I5" s="6"/>
    </row>
    <row r="6" spans="1:9" x14ac:dyDescent="0.25">
      <c r="A6" s="2">
        <f t="shared" si="0"/>
        <v>5</v>
      </c>
      <c r="B6" s="3" t="s">
        <v>287</v>
      </c>
      <c r="C6" s="2">
        <v>355058</v>
      </c>
      <c r="D6" s="2"/>
      <c r="E6" s="2" t="s">
        <v>30</v>
      </c>
      <c r="F6" s="11">
        <f>(C6/Cap!$B$1)*100</f>
        <v>5.0722571428571426</v>
      </c>
      <c r="G6" s="8" t="s">
        <v>60</v>
      </c>
      <c r="H6" s="10">
        <f>H1/(Cap!B3-Mystics!H4)</f>
        <v>605710.5</v>
      </c>
      <c r="I6" s="6"/>
    </row>
    <row r="7" spans="1:9" x14ac:dyDescent="0.25">
      <c r="A7" s="2">
        <f t="shared" si="0"/>
        <v>6</v>
      </c>
      <c r="B7" s="3" t="s">
        <v>288</v>
      </c>
      <c r="C7" s="2">
        <v>277500</v>
      </c>
      <c r="D7" s="2"/>
      <c r="E7" s="2" t="s">
        <v>30</v>
      </c>
      <c r="F7" s="11">
        <f>(C7/Cap!$B$1)*100</f>
        <v>3.964285714285714</v>
      </c>
      <c r="G7" s="8" t="s">
        <v>304</v>
      </c>
      <c r="H7" s="12">
        <f>(H2/Cap!$B$1)*100</f>
        <v>48.081957142857142</v>
      </c>
      <c r="I7" s="6"/>
    </row>
    <row r="8" spans="1:9" x14ac:dyDescent="0.25">
      <c r="A8" s="2">
        <f t="shared" si="0"/>
        <v>7</v>
      </c>
      <c r="B8" s="3" t="s">
        <v>289</v>
      </c>
      <c r="C8" s="2">
        <v>277500</v>
      </c>
      <c r="D8" s="2"/>
      <c r="E8" s="2" t="s">
        <v>31</v>
      </c>
      <c r="F8" s="11">
        <f>(C8/Cap!$B$1)*100</f>
        <v>3.964285714285714</v>
      </c>
      <c r="G8" s="6"/>
      <c r="H8" s="6"/>
      <c r="I8" s="6"/>
    </row>
    <row r="9" spans="1:9" x14ac:dyDescent="0.25">
      <c r="A9" s="2">
        <f t="shared" si="0"/>
        <v>8</v>
      </c>
      <c r="B9" s="3" t="s">
        <v>290</v>
      </c>
      <c r="C9" s="2">
        <v>270000</v>
      </c>
      <c r="D9" s="2"/>
      <c r="E9" s="2" t="s">
        <v>31</v>
      </c>
      <c r="F9" s="11">
        <f>(C9/Cap!$B$1)*100</f>
        <v>3.8571428571428568</v>
      </c>
      <c r="G9" s="6"/>
      <c r="H9" s="6"/>
      <c r="I9" s="6"/>
    </row>
    <row r="10" spans="1:9" x14ac:dyDescent="0.25">
      <c r="A10" s="2">
        <f t="shared" si="0"/>
        <v>9</v>
      </c>
      <c r="B10" s="3" t="s">
        <v>291</v>
      </c>
      <c r="C10" s="2" t="s">
        <v>10</v>
      </c>
      <c r="D10" s="2"/>
      <c r="E10" s="2"/>
      <c r="F10" s="11" t="e">
        <f>(C10/Cap!$B$1)*100</f>
        <v>#VALUE!</v>
      </c>
      <c r="G10" s="6"/>
      <c r="H10" s="6"/>
      <c r="I10" s="6"/>
    </row>
    <row r="11" spans="1:9" x14ac:dyDescent="0.25">
      <c r="A11" s="2">
        <f t="shared" si="0"/>
        <v>10</v>
      </c>
      <c r="B11" s="3" t="s">
        <v>292</v>
      </c>
      <c r="C11" s="2" t="s">
        <v>17</v>
      </c>
      <c r="D11" s="2"/>
      <c r="E11" s="2"/>
      <c r="F11" s="11" t="e">
        <f>(C11/Cap!$B$1)*100</f>
        <v>#VALUE!</v>
      </c>
      <c r="G11" s="6"/>
      <c r="H11" s="6"/>
      <c r="I11" s="6"/>
    </row>
    <row r="12" spans="1:9" x14ac:dyDescent="0.25">
      <c r="A12" s="2">
        <f t="shared" si="0"/>
        <v>11</v>
      </c>
      <c r="B12" s="3"/>
      <c r="C12" s="2"/>
      <c r="D12" s="2"/>
      <c r="E12" s="2"/>
      <c r="F12" s="11">
        <f>(C12/Cap!$B$1)*100</f>
        <v>0</v>
      </c>
      <c r="G12" s="6"/>
      <c r="H12" s="6"/>
      <c r="I12" s="6"/>
    </row>
    <row r="13" spans="1:9" x14ac:dyDescent="0.25">
      <c r="A13" s="2">
        <f t="shared" si="0"/>
        <v>12</v>
      </c>
      <c r="B13" s="3"/>
      <c r="C13" s="2"/>
      <c r="D13" s="2"/>
      <c r="E13" s="2"/>
      <c r="F13" s="11">
        <f>(C13/Cap!$B$1)*100</f>
        <v>0</v>
      </c>
      <c r="G13" s="6"/>
      <c r="H13" s="6"/>
      <c r="I13" s="6"/>
    </row>
    <row r="14" spans="1:9" x14ac:dyDescent="0.25">
      <c r="A14" s="2">
        <f t="shared" si="0"/>
        <v>13</v>
      </c>
      <c r="B14" s="3"/>
      <c r="C14" s="2"/>
      <c r="D14" s="2"/>
      <c r="E14" s="2"/>
      <c r="F14" s="11">
        <f>(C14/Cap!$B$1)*100</f>
        <v>0</v>
      </c>
      <c r="G14" s="6"/>
      <c r="H14" s="6"/>
      <c r="I14" s="6"/>
    </row>
    <row r="15" spans="1:9" x14ac:dyDescent="0.25">
      <c r="A15" s="2">
        <f t="shared" si="0"/>
        <v>14</v>
      </c>
      <c r="B15" s="3"/>
      <c r="C15" s="2"/>
      <c r="D15" s="2"/>
      <c r="E15" s="2"/>
      <c r="F15" s="11">
        <f>(C15/Cap!$B$1)*100</f>
        <v>0</v>
      </c>
      <c r="G15" s="6"/>
      <c r="H15" s="6"/>
      <c r="I15" s="6"/>
    </row>
    <row r="16" spans="1:9" x14ac:dyDescent="0.25">
      <c r="A16" s="2">
        <f t="shared" si="0"/>
        <v>15</v>
      </c>
      <c r="B16" s="3"/>
      <c r="C16" s="2"/>
      <c r="D16" s="2"/>
      <c r="E16" s="3"/>
      <c r="F16" s="11">
        <f>(C16/Cap!$B$1)*100</f>
        <v>0</v>
      </c>
      <c r="G16" s="6"/>
      <c r="H16" s="6"/>
      <c r="I16" s="6"/>
    </row>
    <row r="17" spans="1:9" x14ac:dyDescent="0.25">
      <c r="A17" s="2">
        <f t="shared" si="0"/>
        <v>16</v>
      </c>
      <c r="B17" s="3"/>
      <c r="C17" s="2"/>
      <c r="D17" s="2"/>
      <c r="E17" s="3"/>
      <c r="F17" s="11">
        <f>(C17/Cap!$B$1)*100</f>
        <v>0</v>
      </c>
      <c r="G17" s="6"/>
      <c r="H17" s="6"/>
      <c r="I17" s="6"/>
    </row>
    <row r="18" spans="1:9" x14ac:dyDescent="0.25">
      <c r="A18" s="2">
        <f t="shared" si="0"/>
        <v>17</v>
      </c>
      <c r="B18" s="3"/>
      <c r="C18" s="2"/>
      <c r="D18" s="2"/>
      <c r="E18" s="3"/>
      <c r="F18" s="11">
        <f>(C18/Cap!$B$1)*100</f>
        <v>0</v>
      </c>
      <c r="G18" s="6"/>
      <c r="H18" s="6"/>
      <c r="I18" s="6"/>
    </row>
    <row r="19" spans="1:9" x14ac:dyDescent="0.25">
      <c r="A19" s="2">
        <f t="shared" si="0"/>
        <v>18</v>
      </c>
      <c r="B19" s="3"/>
      <c r="C19" s="2"/>
      <c r="D19" s="2"/>
      <c r="E19" s="3"/>
      <c r="F19" s="11">
        <f>(C19/Cap!$B$1)*100</f>
        <v>0</v>
      </c>
      <c r="G19" s="6"/>
      <c r="H19" s="6"/>
      <c r="I19" s="6"/>
    </row>
    <row r="20" spans="1:9" x14ac:dyDescent="0.25">
      <c r="A20" s="2">
        <f t="shared" si="0"/>
        <v>19</v>
      </c>
      <c r="B20" s="3"/>
      <c r="C20" s="2"/>
      <c r="D20" s="2"/>
      <c r="E20" s="3"/>
      <c r="F20" s="11">
        <f>(C20/Cap!$B$1)*100</f>
        <v>0</v>
      </c>
      <c r="G20" s="6"/>
      <c r="H20" s="6"/>
      <c r="I20" s="6"/>
    </row>
    <row r="21" spans="1:9" x14ac:dyDescent="0.25">
      <c r="A21" s="2">
        <f t="shared" si="0"/>
        <v>20</v>
      </c>
      <c r="B21" s="3"/>
      <c r="C21" s="2"/>
      <c r="D21" s="2"/>
      <c r="E21" s="3"/>
      <c r="F21" s="11">
        <f>(C21/Cap!$B$1)*100</f>
        <v>0</v>
      </c>
      <c r="G21" s="6"/>
      <c r="H21" s="6"/>
      <c r="I21" s="6"/>
    </row>
    <row r="22" spans="1:9" x14ac:dyDescent="0.25">
      <c r="A22" s="2">
        <f t="shared" si="0"/>
        <v>21</v>
      </c>
      <c r="B22" s="3"/>
      <c r="C22" s="3"/>
      <c r="D22" s="3"/>
      <c r="E22" s="3"/>
      <c r="F22" s="11">
        <f>(C22/Cap!$B$1)*100</f>
        <v>0</v>
      </c>
      <c r="G22" s="6"/>
      <c r="H22" s="6"/>
      <c r="I22" s="6"/>
    </row>
    <row r="23" spans="1:9" x14ac:dyDescent="0.25">
      <c r="A23" s="2">
        <f t="shared" si="0"/>
        <v>22</v>
      </c>
      <c r="B23" s="3"/>
      <c r="C23" s="3"/>
      <c r="D23" s="3"/>
      <c r="E23" s="3"/>
      <c r="F23" s="11">
        <f>(C23/Cap!$B$1)*100</f>
        <v>0</v>
      </c>
      <c r="G23" s="6"/>
      <c r="H23" s="6"/>
      <c r="I23" s="6"/>
    </row>
    <row r="24" spans="1:9" x14ac:dyDescent="0.25">
      <c r="A24" s="2">
        <f>A23+1</f>
        <v>23</v>
      </c>
      <c r="B24" s="3"/>
      <c r="C24" s="3"/>
      <c r="D24" s="3"/>
      <c r="E24" s="3"/>
      <c r="F24" s="11">
        <f>(C24/Cap!$B$1)*100</f>
        <v>0</v>
      </c>
      <c r="G24" s="6"/>
      <c r="H24" s="6"/>
      <c r="I24" s="6"/>
    </row>
    <row r="25" spans="1:9" x14ac:dyDescent="0.25">
      <c r="A25" s="2">
        <f t="shared" si="0"/>
        <v>24</v>
      </c>
      <c r="B25" s="3"/>
      <c r="C25" s="3"/>
      <c r="D25" s="3"/>
      <c r="E25" s="3"/>
      <c r="F25" s="11">
        <f>(C25/Cap!$B$1)*100</f>
        <v>0</v>
      </c>
      <c r="G25" s="6"/>
      <c r="H25" s="6"/>
      <c r="I25" s="6"/>
    </row>
    <row r="26" spans="1:9" x14ac:dyDescent="0.25">
      <c r="A26" s="2">
        <f t="shared" si="0"/>
        <v>25</v>
      </c>
      <c r="B26" s="3"/>
      <c r="C26" s="3"/>
      <c r="D26" s="3"/>
      <c r="E26" s="3"/>
      <c r="F26" s="11">
        <f>(C26/Cap!$B$1)*100</f>
        <v>0</v>
      </c>
      <c r="G26" s="6"/>
      <c r="H26" s="6"/>
      <c r="I26" s="6"/>
    </row>
    <row r="27" spans="1:9" x14ac:dyDescent="0.25">
      <c r="A27" s="6"/>
      <c r="B27" s="9" t="s">
        <v>21</v>
      </c>
      <c r="C27" s="7"/>
      <c r="D27" s="6"/>
      <c r="E27" s="6"/>
      <c r="F27" s="6"/>
      <c r="G27" s="6"/>
      <c r="H27" s="6"/>
      <c r="I27" s="6"/>
    </row>
    <row r="28" spans="1:9" x14ac:dyDescent="0.25">
      <c r="A28" s="6"/>
      <c r="B28" s="9" t="s">
        <v>32</v>
      </c>
      <c r="C28" s="7"/>
      <c r="D28" s="6"/>
      <c r="E28" s="6"/>
      <c r="F28" s="6"/>
      <c r="G28" s="6"/>
      <c r="H28" s="6"/>
      <c r="I28" s="6"/>
    </row>
    <row r="29" spans="1:9" x14ac:dyDescent="0.25">
      <c r="A29" s="6"/>
      <c r="B29" s="6" t="s">
        <v>293</v>
      </c>
      <c r="C29" s="7">
        <v>407163</v>
      </c>
      <c r="D29" s="6"/>
      <c r="E29" s="6"/>
      <c r="F29" s="6"/>
      <c r="G29" s="6"/>
      <c r="H29" s="6"/>
      <c r="I29" s="6"/>
    </row>
    <row r="30" spans="1:9" x14ac:dyDescent="0.25">
      <c r="A30" s="6"/>
      <c r="B30" s="6" t="s">
        <v>300</v>
      </c>
      <c r="C30" s="7">
        <v>289133</v>
      </c>
      <c r="D30" s="6"/>
      <c r="E30" s="6"/>
      <c r="F30" s="6"/>
      <c r="G30" s="6"/>
      <c r="H30" s="6"/>
      <c r="I30" s="6"/>
    </row>
    <row r="31" spans="1:9" x14ac:dyDescent="0.25">
      <c r="A31" s="6"/>
      <c r="B31" s="6" t="s">
        <v>294</v>
      </c>
      <c r="C31" s="7">
        <v>289133</v>
      </c>
      <c r="D31" s="6"/>
      <c r="E31" s="6"/>
      <c r="F31" s="6"/>
      <c r="G31" s="6"/>
      <c r="H31" s="6"/>
      <c r="I31" s="6"/>
    </row>
    <row r="32" spans="1:9" x14ac:dyDescent="0.25">
      <c r="A32" s="6"/>
      <c r="B32" s="6" t="s">
        <v>295</v>
      </c>
      <c r="C32" s="7">
        <v>270000</v>
      </c>
      <c r="D32" s="6"/>
      <c r="E32" s="6"/>
      <c r="F32" s="6"/>
      <c r="G32" s="6"/>
      <c r="H32" s="6"/>
      <c r="I32" s="6"/>
    </row>
    <row r="33" spans="1:9" x14ac:dyDescent="0.25">
      <c r="A33" s="6"/>
      <c r="B33" s="6" t="s">
        <v>296</v>
      </c>
      <c r="C33" s="7">
        <v>270000</v>
      </c>
      <c r="D33" s="6"/>
      <c r="E33" s="6"/>
      <c r="F33" s="6"/>
      <c r="G33" s="6"/>
      <c r="H33" s="6"/>
      <c r="I33" s="6"/>
    </row>
    <row r="34" spans="1:9" x14ac:dyDescent="0.25">
      <c r="A34" s="6"/>
      <c r="B34" s="6" t="s">
        <v>297</v>
      </c>
      <c r="C34" s="7">
        <v>270000</v>
      </c>
      <c r="D34" s="6"/>
      <c r="E34" s="6"/>
      <c r="F34" s="6"/>
      <c r="G34" s="6"/>
      <c r="H34" s="6"/>
      <c r="I34" s="6"/>
    </row>
    <row r="35" spans="1:9" x14ac:dyDescent="0.25">
      <c r="A35" s="6"/>
      <c r="B35" s="8" t="s">
        <v>298</v>
      </c>
      <c r="C35" s="7">
        <v>270000</v>
      </c>
      <c r="D35" s="6"/>
      <c r="E35" s="6"/>
      <c r="F35" s="6"/>
      <c r="G35" s="6"/>
      <c r="I35" s="6"/>
    </row>
    <row r="36" spans="1:9" ht="15" customHeight="1" x14ac:dyDescent="0.25">
      <c r="A36" s="6"/>
      <c r="B36" s="8" t="s">
        <v>299</v>
      </c>
      <c r="C36" s="7">
        <v>270000</v>
      </c>
      <c r="D36" s="6"/>
      <c r="E36" s="6"/>
      <c r="F36" s="6"/>
      <c r="G36" s="6"/>
      <c r="H36" s="6"/>
    </row>
  </sheetData>
  <conditionalFormatting sqref="H4">
    <cfRule type="colorScale" priority="1">
      <colorScale>
        <cfvo type="min"/>
        <cfvo type="max"/>
        <color rgb="FF63BE7B"/>
        <color rgb="FFFCFCFF"/>
      </colorScale>
    </cfRule>
  </conditionalFormatting>
  <pageMargins left="0.7" right="0.7" top="0.75" bottom="0.75" header="0.3" footer="0.3"/>
  <ignoredErrors>
    <ignoredError sqref="F10:F11" evalErro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16</vt:i4>
      </vt:variant>
    </vt:vector>
  </HeadingPairs>
  <TitlesOfParts>
    <vt:vector size="16" baseType="lpstr">
      <vt:lpstr>Cap</vt:lpstr>
      <vt:lpstr>Dream</vt:lpstr>
      <vt:lpstr>Sky</vt:lpstr>
      <vt:lpstr>Sun</vt:lpstr>
      <vt:lpstr>Wings</vt:lpstr>
      <vt:lpstr>Valkyries</vt:lpstr>
      <vt:lpstr>Fever</vt:lpstr>
      <vt:lpstr>Vegas</vt:lpstr>
      <vt:lpstr>Sparks</vt:lpstr>
      <vt:lpstr>Lynx</vt:lpstr>
      <vt:lpstr>Liberty</vt:lpstr>
      <vt:lpstr>Mercury</vt:lpstr>
      <vt:lpstr>Fire</vt:lpstr>
      <vt:lpstr>Storm</vt:lpstr>
      <vt:lpstr>Tempo</vt:lpstr>
      <vt:lpstr>Mystics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Ghislain Clement</dc:creator>
  <cp:lastModifiedBy>Ghislain Clement</cp:lastModifiedBy>
  <dcterms:created xsi:type="dcterms:W3CDTF">2026-04-14T07:05:15Z</dcterms:created>
  <dcterms:modified xsi:type="dcterms:W3CDTF">2026-04-14T14:27:16Z</dcterms:modified>
</cp:coreProperties>
</file>